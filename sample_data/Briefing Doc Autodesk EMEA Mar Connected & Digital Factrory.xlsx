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dlog.sharepoint.com/sites/EMEAOperations/Shared Documents/Tulsi/Autodesk/Mar.Maria Autodesk/Autodesk MarMaria Big Rock DF &amp; Connected Data/"/>
    </mc:Choice>
  </mc:AlternateContent>
  <xr:revisionPtr revIDLastSave="117" documentId="8_{A8F7088F-393E-4D21-9BA9-9C1B1DD22432}" xr6:coauthVersionLast="47" xr6:coauthVersionMax="47" xr10:uidLastSave="{B6E267D6-1DD6-481F-988D-5F00B5C680C8}"/>
  <bookViews>
    <workbookView xWindow="-110" yWindow="-110" windowWidth="19420" windowHeight="11500" xr2:uid="{C06A3880-C734-4F7F-989F-FE9BC2B0484B}"/>
  </bookViews>
  <sheets>
    <sheet name="Overall Briefing Document" sheetId="2" r:id="rId1"/>
    <sheet name="Delivery Template" sheetId="8" r:id="rId2"/>
    <sheet name="Display Banner Sizes" sheetId="7" state="hidden" r:id="rId3"/>
    <sheet name="Assets" sheetId="5" r:id="rId4"/>
    <sheet name="Job Titles" sheetId="6" r:id="rId5"/>
    <sheet name="Target account list" sheetId="3" r:id="rId6"/>
    <sheet name="Intent Topics 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2" i="6"/>
  <c r="E11" i="2"/>
  <c r="E10" i="2"/>
  <c r="E12" i="2"/>
</calcChain>
</file>

<file path=xl/sharedStrings.xml><?xml version="1.0" encoding="utf-8"?>
<sst xmlns="http://schemas.openxmlformats.org/spreadsheetml/2006/main" count="676" uniqueCount="441">
  <si>
    <t>Client</t>
  </si>
  <si>
    <t>Autodesk EMEA</t>
  </si>
  <si>
    <t>Additional / Follow-Up Points</t>
  </si>
  <si>
    <t>Campaign</t>
  </si>
  <si>
    <t>AutoDesk EMEA - ENT Big Rock Manu - Q2-25</t>
  </si>
  <si>
    <t>Timeline / Launch Date</t>
  </si>
  <si>
    <t>Channels</t>
  </si>
  <si>
    <t>CS-Single Touch</t>
  </si>
  <si>
    <t xml:space="preserve">Content Syndication </t>
  </si>
  <si>
    <t>Yes</t>
  </si>
  <si>
    <t xml:space="preserve">Display </t>
  </si>
  <si>
    <t>No</t>
  </si>
  <si>
    <t>LinkedIn Integration</t>
  </si>
  <si>
    <t>MLP Access</t>
  </si>
  <si>
    <t>Booking Info</t>
  </si>
  <si>
    <t>Rate</t>
  </si>
  <si>
    <t xml:space="preserve">Leads </t>
  </si>
  <si>
    <t>Cost</t>
  </si>
  <si>
    <t>Digital Factory</t>
  </si>
  <si>
    <t>Connected Data</t>
  </si>
  <si>
    <t xml:space="preserve">Total  </t>
  </si>
  <si>
    <t xml:space="preserve">Pacing </t>
  </si>
  <si>
    <t>Even Weekly</t>
  </si>
  <si>
    <t>Pacing / Leads Delivery Day</t>
  </si>
  <si>
    <t>Once we have 100% leads</t>
  </si>
  <si>
    <t>Job Titles</t>
  </si>
  <si>
    <t>in the following tab</t>
  </si>
  <si>
    <t>Exclusions</t>
  </si>
  <si>
    <t>as per TAL</t>
  </si>
  <si>
    <t xml:space="preserve">lndustries </t>
  </si>
  <si>
    <t>Account List</t>
  </si>
  <si>
    <t>Company Size</t>
  </si>
  <si>
    <t>Countries</t>
  </si>
  <si>
    <t>UK, Nordics, Benelux, France, Germany, Switzerland, Austria, Italy, Spain, Portugal</t>
  </si>
  <si>
    <t>Lead Cap</t>
  </si>
  <si>
    <t>Unlimited</t>
  </si>
  <si>
    <t>Intent/Trending Topics</t>
  </si>
  <si>
    <t>Assets</t>
  </si>
  <si>
    <t>Languages</t>
  </si>
  <si>
    <t>English</t>
  </si>
  <si>
    <t>Lead delivery / Integration</t>
  </si>
  <si>
    <t>Sharefile? (TBC)</t>
  </si>
  <si>
    <t>Lead delivery Template</t>
  </si>
  <si>
    <t>Opt-In</t>
  </si>
  <si>
    <r>
      <t>I agree to Autodesk's Terms of Use and acknowledge its P</t>
    </r>
    <r>
      <rPr>
        <b/>
        <sz val="14"/>
        <rFont val="Calibri"/>
        <family val="2"/>
        <scheme val="minor"/>
      </rPr>
      <t>rivacy Statement*</t>
    </r>
  </si>
  <si>
    <t>Privacy Statement English</t>
  </si>
  <si>
    <t xml:space="preserve">KPIs / Success Metrics? </t>
  </si>
  <si>
    <t>TBC by Mar</t>
  </si>
  <si>
    <t xml:space="preserve">same as </t>
  </si>
  <si>
    <t>Please update the Activity ID &amp; Name and keeo Activity Name as both number and the name and ID will only have Number</t>
  </si>
  <si>
    <r>
      <rPr>
        <sz val="11"/>
        <color rgb="FF000000"/>
        <rFont val="Calibri"/>
        <scheme val="minor"/>
      </rPr>
      <t>7167424_D&amp;M_FY26 Big Rock Connected Data Content Syndication</t>
    </r>
    <r>
      <rPr>
        <sz val="11"/>
        <color rgb="FF000000"/>
        <rFont val="Aptos"/>
      </rPr>
      <t>:  </t>
    </r>
  </si>
  <si>
    <t>7131515_D&amp;M_FY26 Big Rock Digital Factory Content Syndication:  </t>
  </si>
  <si>
    <t>Supported Standard Ad Sizes</t>
  </si>
  <si>
    <t>Supported Mobile Ad Sizes</t>
  </si>
  <si>
    <t>Supported Custom Ad Sizes</t>
  </si>
  <si>
    <t>(width x height in pixels)</t>
  </si>
  <si>
    <t xml:space="preserve">300x250 </t>
  </si>
  <si>
    <t xml:space="preserve">320x480 </t>
  </si>
  <si>
    <t>180x150</t>
  </si>
  <si>
    <t>300x600</t>
  </si>
  <si>
    <t>300x50</t>
  </si>
  <si>
    <t>234x600</t>
  </si>
  <si>
    <t>728x90</t>
  </si>
  <si>
    <t>480x80</t>
  </si>
  <si>
    <t>430x600</t>
  </si>
  <si>
    <t>160x600</t>
  </si>
  <si>
    <t>320x50</t>
  </si>
  <si>
    <t>540x100</t>
  </si>
  <si>
    <t>468x60</t>
  </si>
  <si>
    <t>600x315</t>
  </si>
  <si>
    <t>120x600</t>
  </si>
  <si>
    <t>640x480</t>
  </si>
  <si>
    <t>970x250</t>
  </si>
  <si>
    <t>Same as Akhil's Digital Factory Campaign</t>
  </si>
  <si>
    <t>Same as Akhil's Campaign</t>
  </si>
  <si>
    <t>ML Landing Pages</t>
  </si>
  <si>
    <t>How industry leaders are digitalizing their processes and transforming factory projects</t>
  </si>
  <si>
    <t>Three steps to create competitive advantage with data</t>
  </si>
  <si>
    <t>Breaking Down the Barriers to More Collaborative Factory Project</t>
  </si>
  <si>
    <t>Why Connected Data is the Future of Manufacturing</t>
  </si>
  <si>
    <t>Digitally Transforming the Factory Lifecycle</t>
  </si>
  <si>
    <t>Spotlight on Industrial Machinery</t>
  </si>
  <si>
    <t>Cleaned</t>
  </si>
  <si>
    <t>Layout Engineer</t>
  </si>
  <si>
    <t>VP Product Development</t>
  </si>
  <si>
    <t>Facility Manager</t>
  </si>
  <si>
    <t xml:space="preserve"> Head of Operations</t>
  </si>
  <si>
    <t>Capital Projects Manager </t>
  </si>
  <si>
    <t xml:space="preserve"> VP Manufacturing</t>
  </si>
  <si>
    <t>Executive of Global Engineering</t>
  </si>
  <si>
    <t xml:space="preserve"> Digital Transformation Director</t>
  </si>
  <si>
    <t>Lead of Global Engineering</t>
  </si>
  <si>
    <t xml:space="preserve"> Director of Engineering</t>
  </si>
  <si>
    <t>Manager of Global Engineering</t>
  </si>
  <si>
    <t xml:space="preserve"> Head of Supply Chain Management</t>
  </si>
  <si>
    <t>Director of Global Engineering</t>
  </si>
  <si>
    <t>VP of Supply Chain Management</t>
  </si>
  <si>
    <t>Head of Global Engineering</t>
  </si>
  <si>
    <t>Engineer</t>
  </si>
  <si>
    <t>VP of Global Engineering</t>
  </si>
  <si>
    <t xml:space="preserve"> Business Transformation Manager</t>
  </si>
  <si>
    <t>Executive of Real Estate</t>
  </si>
  <si>
    <t xml:space="preserve"> Transformation Consultant</t>
  </si>
  <si>
    <t>Lead of Real Estate</t>
  </si>
  <si>
    <t xml:space="preserve"> Information Technology Consultant</t>
  </si>
  <si>
    <t>Manager of Real Estate</t>
  </si>
  <si>
    <t xml:space="preserve"> Head of Engineering Department</t>
  </si>
  <si>
    <t>Director of Real Estate</t>
  </si>
  <si>
    <t xml:space="preserve"> Innovation Lead</t>
  </si>
  <si>
    <t>Head of Real Estate</t>
  </si>
  <si>
    <t xml:space="preserve"> Director of Production Operations</t>
  </si>
  <si>
    <t>VP of Real Estate</t>
  </si>
  <si>
    <t xml:space="preserve"> Director of Manufacturing</t>
  </si>
  <si>
    <t xml:space="preserve">Executive of Construction  </t>
  </si>
  <si>
    <t xml:space="preserve"> Vice President Research And Development</t>
  </si>
  <si>
    <t xml:space="preserve">Lead of Construction  </t>
  </si>
  <si>
    <t xml:space="preserve"> Director Business Transformation</t>
  </si>
  <si>
    <t xml:space="preserve">Manager of Construction  </t>
  </si>
  <si>
    <t xml:space="preserve"> Lead Manufacturing Engineer</t>
  </si>
  <si>
    <t xml:space="preserve">Director of Construction  </t>
  </si>
  <si>
    <t xml:space="preserve"> Senior Engineering Manager</t>
  </si>
  <si>
    <t xml:space="preserve">Head of Construction  </t>
  </si>
  <si>
    <t xml:space="preserve"> Senior Director Manufacturing</t>
  </si>
  <si>
    <t xml:space="preserve">VP of Construction  </t>
  </si>
  <si>
    <t xml:space="preserve"> Operations Executive</t>
  </si>
  <si>
    <t xml:space="preserve">Executive of Operations  </t>
  </si>
  <si>
    <t xml:space="preserve"> Senior Engineering Project Manager</t>
  </si>
  <si>
    <t xml:space="preserve">Lead of Operations  </t>
  </si>
  <si>
    <t xml:space="preserve"> Innovation Engineer</t>
  </si>
  <si>
    <t xml:space="preserve">Manager of Operations  </t>
  </si>
  <si>
    <t xml:space="preserve"> Head of Research Department</t>
  </si>
  <si>
    <t xml:space="preserve">Director of Operations  </t>
  </si>
  <si>
    <t xml:space="preserve"> Chief Innovation Officer</t>
  </si>
  <si>
    <t xml:space="preserve">Head of Operations  </t>
  </si>
  <si>
    <t xml:space="preserve"> Innovation Project Manager</t>
  </si>
  <si>
    <t xml:space="preserve">VP of Operations  </t>
  </si>
  <si>
    <t xml:space="preserve"> Senior Manufacturing Engineer</t>
  </si>
  <si>
    <t xml:space="preserve">Executive of Estate  </t>
  </si>
  <si>
    <t xml:space="preserve"> Manufacturing Engineering Supervisor</t>
  </si>
  <si>
    <t xml:space="preserve">Lead of Estate  </t>
  </si>
  <si>
    <t xml:space="preserve"> Director Technology Innovation</t>
  </si>
  <si>
    <t xml:space="preserve">Manager of Estate  </t>
  </si>
  <si>
    <t xml:space="preserve"> Engineering Project Manager</t>
  </si>
  <si>
    <t xml:space="preserve">Director of Estate  </t>
  </si>
  <si>
    <t xml:space="preserve"> Executive Director Engineering</t>
  </si>
  <si>
    <t xml:space="preserve">Head of Estate  </t>
  </si>
  <si>
    <t xml:space="preserve"> Engineering Manager</t>
  </si>
  <si>
    <t xml:space="preserve">VP of Estate  </t>
  </si>
  <si>
    <t xml:space="preserve"> Executive Vice President Engineering</t>
  </si>
  <si>
    <t xml:space="preserve">Executive of Global Project Delivery  </t>
  </si>
  <si>
    <t xml:space="preserve"> Vice President Advanced Technology</t>
  </si>
  <si>
    <t xml:space="preserve">Lead of Global Project Delivery  </t>
  </si>
  <si>
    <t xml:space="preserve"> Innovation Manager</t>
  </si>
  <si>
    <t xml:space="preserve">Manager of Global Project Delivery  </t>
  </si>
  <si>
    <t xml:space="preserve"> Head of Engineering</t>
  </si>
  <si>
    <t xml:space="preserve">Director of Global Project Delivery  </t>
  </si>
  <si>
    <t xml:space="preserve"> Engineering Specialist</t>
  </si>
  <si>
    <t xml:space="preserve">Head of Global Project Delivery  </t>
  </si>
  <si>
    <t xml:space="preserve"> Senior Manager Manufacturing Engineering</t>
  </si>
  <si>
    <t xml:space="preserve">VP of Global Project Delivery  </t>
  </si>
  <si>
    <t xml:space="preserve"> Executive Software Engineering</t>
  </si>
  <si>
    <t xml:space="preserve">Executive of Store Planning  </t>
  </si>
  <si>
    <t xml:space="preserve"> Director of Innovation</t>
  </si>
  <si>
    <t xml:space="preserve">Lead of Store Planning  </t>
  </si>
  <si>
    <t xml:space="preserve"> Senior Manufacturing Process Engineer</t>
  </si>
  <si>
    <t xml:space="preserve">Manager of Store Planning  </t>
  </si>
  <si>
    <t xml:space="preserve"> Vice President of Manufacturing</t>
  </si>
  <si>
    <t xml:space="preserve">Director of Store Planning  </t>
  </si>
  <si>
    <t xml:space="preserve"> Manufacturing Engineering Manager</t>
  </si>
  <si>
    <t xml:space="preserve">Head of Store Planning  </t>
  </si>
  <si>
    <t xml:space="preserve"> Digital Transformation Officer</t>
  </si>
  <si>
    <t xml:space="preserve">VP of Store Planning  </t>
  </si>
  <si>
    <t xml:space="preserve"> Head of Transformation</t>
  </si>
  <si>
    <t xml:space="preserve">Executive of Facilities  </t>
  </si>
  <si>
    <t xml:space="preserve"> Vice President of Digital Transformation</t>
  </si>
  <si>
    <t xml:space="preserve">Lead of Facilities  </t>
  </si>
  <si>
    <t xml:space="preserve"> Senior Research And Development Engineer</t>
  </si>
  <si>
    <t xml:space="preserve">Manager of Facilities  </t>
  </si>
  <si>
    <t xml:space="preserve"> Manufacturing Engineer</t>
  </si>
  <si>
    <t xml:space="preserve">Director of Facilities  </t>
  </si>
  <si>
    <t xml:space="preserve"> Product Engineering Manager</t>
  </si>
  <si>
    <t xml:space="preserve">Head of Facilities  </t>
  </si>
  <si>
    <t xml:space="preserve">VP of Facilities  </t>
  </si>
  <si>
    <t xml:space="preserve"> Research And Development Specialist</t>
  </si>
  <si>
    <t xml:space="preserve">Executive of Facilities Design  </t>
  </si>
  <si>
    <t xml:space="preserve"> Information Technology Analyst</t>
  </si>
  <si>
    <t xml:space="preserve">Lead of Facilities Design  </t>
  </si>
  <si>
    <t xml:space="preserve"> Senior Director of Engineering</t>
  </si>
  <si>
    <t xml:space="preserve">Manager of Facilities Design  </t>
  </si>
  <si>
    <t xml:space="preserve"> Research And Development Engineer</t>
  </si>
  <si>
    <t xml:space="preserve">Director of Facilities Design  </t>
  </si>
  <si>
    <t xml:space="preserve"> Lead Engineer</t>
  </si>
  <si>
    <t xml:space="preserve">Head of Facilities Design  </t>
  </si>
  <si>
    <t xml:space="preserve"> Research Manager</t>
  </si>
  <si>
    <t xml:space="preserve">VP of Facilities Design  </t>
  </si>
  <si>
    <t xml:space="preserve"> Research And Development Manager</t>
  </si>
  <si>
    <t xml:space="preserve">Executive of Services  </t>
  </si>
  <si>
    <t xml:space="preserve"> Vice President of Engineering</t>
  </si>
  <si>
    <t xml:space="preserve">Lead of Services  </t>
  </si>
  <si>
    <t xml:space="preserve"> Vice President Innovation</t>
  </si>
  <si>
    <t xml:space="preserve">Manager of Services  </t>
  </si>
  <si>
    <t xml:space="preserve"> Innovation Consultant</t>
  </si>
  <si>
    <t xml:space="preserve">Director of Services  </t>
  </si>
  <si>
    <t xml:space="preserve"> Information Technology Manager</t>
  </si>
  <si>
    <t xml:space="preserve">Head of Services  </t>
  </si>
  <si>
    <t xml:space="preserve"> Head of Innovation</t>
  </si>
  <si>
    <t xml:space="preserve">VP of Services  </t>
  </si>
  <si>
    <t xml:space="preserve"> Director of Research Development</t>
  </si>
  <si>
    <t xml:space="preserve">Executive of Management  </t>
  </si>
  <si>
    <t xml:space="preserve"> Manufacturing Manager</t>
  </si>
  <si>
    <t xml:space="preserve">Lead of Management  </t>
  </si>
  <si>
    <t xml:space="preserve"> Head of Information Technology</t>
  </si>
  <si>
    <t xml:space="preserve">Manager of Management  </t>
  </si>
  <si>
    <t xml:space="preserve"> Director of Product Engineering</t>
  </si>
  <si>
    <t xml:space="preserve">Director of Management  </t>
  </si>
  <si>
    <t xml:space="preserve"> Director of Product Development</t>
  </si>
  <si>
    <t xml:space="preserve">Head of Management  </t>
  </si>
  <si>
    <t xml:space="preserve"> Director Advanced Technology</t>
  </si>
  <si>
    <t xml:space="preserve">VP of Management  </t>
  </si>
  <si>
    <t xml:space="preserve"> Director of Manufacturing Operations</t>
  </si>
  <si>
    <t>Structural Engineers</t>
  </si>
  <si>
    <t xml:space="preserve"> Advanced Technology Manager</t>
  </si>
  <si>
    <t>Project Manager</t>
  </si>
  <si>
    <t>Engineer Manager</t>
  </si>
  <si>
    <t>Plant Director</t>
  </si>
  <si>
    <t>Project Manager</t>
  </si>
  <si>
    <t xml:space="preserve">Finance Manager/ Coordinator </t>
  </si>
  <si>
    <t>Portofolio Manager</t>
  </si>
  <si>
    <t>Facilities Manager</t>
  </si>
  <si>
    <t>Real Estate Manager</t>
  </si>
  <si>
    <t xml:space="preserve">Fixed Asset Manager </t>
  </si>
  <si>
    <t>MEP Engineer</t>
  </si>
  <si>
    <t>Head of Operations</t>
  </si>
  <si>
    <t>VP Manufacturing</t>
  </si>
  <si>
    <t>Factory Owner</t>
  </si>
  <si>
    <t>Plant Manager</t>
  </si>
  <si>
    <t>Director of Manufacturing</t>
  </si>
  <si>
    <t>Director of Operations/ Production</t>
  </si>
  <si>
    <t>Supply chain manager</t>
  </si>
  <si>
    <t>Manufacturing Engineer</t>
  </si>
  <si>
    <t>Quality Control Engineer</t>
  </si>
  <si>
    <t>Production Planner</t>
  </si>
  <si>
    <t>Purchasing Department</t>
  </si>
  <si>
    <t>Manufacturing Engineer Manager</t>
  </si>
  <si>
    <t>FY26 Q2 TAL MFG with CSN.xlsx</t>
  </si>
  <si>
    <t>parent_csn</t>
  </si>
  <si>
    <t>account_name</t>
  </si>
  <si>
    <t>PARENT_ACCOUNT_GEO</t>
  </si>
  <si>
    <t>PARENT_ACCOUNT_HQ_COMPANY</t>
  </si>
  <si>
    <t>CURRENT_PARENT_ACCOUNT_NAG</t>
  </si>
  <si>
    <t>PARENT_ACCOUNT_INDUSTRY_GROUP</t>
  </si>
  <si>
    <t>INDUSTRY_SEGMENT</t>
  </si>
  <si>
    <t>Domains</t>
  </si>
  <si>
    <t>abb ltd</t>
  </si>
  <si>
    <t>EMEA</t>
  </si>
  <si>
    <t>Switzerland</t>
  </si>
  <si>
    <t>Named Account Global</t>
  </si>
  <si>
    <t>MFG</t>
  </si>
  <si>
    <t>Process Manufacturing</t>
  </si>
  <si>
    <t>global.abb</t>
  </si>
  <si>
    <t>alfa laval corporate ab</t>
  </si>
  <si>
    <t>Sweden</t>
  </si>
  <si>
    <t>Industrial Machinery</t>
  </si>
  <si>
    <t>alfalaval.com</t>
  </si>
  <si>
    <t>andritz ag</t>
  </si>
  <si>
    <t>Austria</t>
  </si>
  <si>
    <t>andritz.com</t>
  </si>
  <si>
    <t>babcock group [gp]</t>
  </si>
  <si>
    <t>United Kingdom</t>
  </si>
  <si>
    <t>Aerospace &amp; Defense Equipment</t>
  </si>
  <si>
    <t>babcockinternational.com</t>
  </si>
  <si>
    <t>bae systems</t>
  </si>
  <si>
    <t>baesystems.com</t>
  </si>
  <si>
    <t>basf se</t>
  </si>
  <si>
    <t>Germany</t>
  </si>
  <si>
    <t>basf.com</t>
  </si>
  <si>
    <t>bayer ag</t>
  </si>
  <si>
    <t>bayer.com</t>
  </si>
  <si>
    <t>bühler ag</t>
  </si>
  <si>
    <t>buhlergroup.com</t>
  </si>
  <si>
    <t>caverion</t>
  </si>
  <si>
    <t>Finland</t>
  </si>
  <si>
    <t>caverion.com</t>
  </si>
  <si>
    <t>covestro ag</t>
  </si>
  <si>
    <t>covestro.com</t>
  </si>
  <si>
    <t>crh plc</t>
  </si>
  <si>
    <t>Ireland</t>
  </si>
  <si>
    <t>Building Products &amp; Fabricat'n</t>
  </si>
  <si>
    <t>crh.com</t>
  </si>
  <si>
    <t>danfoss a s</t>
  </si>
  <si>
    <t>Denmark</t>
  </si>
  <si>
    <t>danfoss.com</t>
  </si>
  <si>
    <t>eaton corp. plc</t>
  </si>
  <si>
    <t>Engineering Service Providers</t>
  </si>
  <si>
    <t>eaton.com</t>
  </si>
  <si>
    <t>fritz schaefer gmbh &amp; co. kg</t>
  </si>
  <si>
    <t>gea group ag</t>
  </si>
  <si>
    <t>gea.com</t>
  </si>
  <si>
    <t>gkn plc</t>
  </si>
  <si>
    <t>gkn.com</t>
  </si>
  <si>
    <t>hilti ag</t>
  </si>
  <si>
    <t>Liechtenstein</t>
  </si>
  <si>
    <t>hilti.group</t>
  </si>
  <si>
    <t>hitachi abb power grids</t>
  </si>
  <si>
    <t>hitachienergy.com</t>
  </si>
  <si>
    <t>hitachi group</t>
  </si>
  <si>
    <t>Japan</t>
  </si>
  <si>
    <t>hitachi.com</t>
  </si>
  <si>
    <t>ikea of sweden ab</t>
  </si>
  <si>
    <t>ikea.com</t>
  </si>
  <si>
    <t>imi plc</t>
  </si>
  <si>
    <t>imiplc.com</t>
  </si>
  <si>
    <t>infineon technologies ag</t>
  </si>
  <si>
    <t>infineon.com</t>
  </si>
  <si>
    <t>kion holding 1 gmbh [gp]</t>
  </si>
  <si>
    <t>kiongroup.com</t>
  </si>
  <si>
    <t>knauf information services gmbh</t>
  </si>
  <si>
    <t>knauf.com</t>
  </si>
  <si>
    <t>kone corp.</t>
  </si>
  <si>
    <t>kone.com</t>
  </si>
  <si>
    <t>linde gmbh</t>
  </si>
  <si>
    <t>linde.com</t>
  </si>
  <si>
    <t>lindner ag</t>
  </si>
  <si>
    <t>lindner-group.com</t>
  </si>
  <si>
    <t>medtronic public ltd co. [gp]</t>
  </si>
  <si>
    <t>Buildings</t>
  </si>
  <si>
    <t>medtronic.com</t>
  </si>
  <si>
    <t>metso finland oy</t>
  </si>
  <si>
    <t>metso.com</t>
  </si>
  <si>
    <t>nestle sa</t>
  </si>
  <si>
    <t>Food &amp; Beverage</t>
  </si>
  <si>
    <t>nestle.com</t>
  </si>
  <si>
    <t>norsk hydro</t>
  </si>
  <si>
    <t>Norway</t>
  </si>
  <si>
    <t>hydro.com</t>
  </si>
  <si>
    <t>peri gmbh</t>
  </si>
  <si>
    <t>peri.com</t>
  </si>
  <si>
    <t>philips electronics nv [gp]</t>
  </si>
  <si>
    <t>Netherlands</t>
  </si>
  <si>
    <t>philips.com</t>
  </si>
  <si>
    <t>primetals technologies ltd</t>
  </si>
  <si>
    <t>primetals.com</t>
  </si>
  <si>
    <t>rsk group plc</t>
  </si>
  <si>
    <t>sandvik ab</t>
  </si>
  <si>
    <t>schneider electric sa</t>
  </si>
  <si>
    <t>France</t>
  </si>
  <si>
    <t>se.com</t>
  </si>
  <si>
    <t>siemens ag</t>
  </si>
  <si>
    <t>siemens.com</t>
  </si>
  <si>
    <t>siemens energy ag</t>
  </si>
  <si>
    <t>siemens-energy.com</t>
  </si>
  <si>
    <t>signify netherlands b.v.</t>
  </si>
  <si>
    <t>signify.com</t>
  </si>
  <si>
    <t>skf sverige ab</t>
  </si>
  <si>
    <t>skf.com</t>
  </si>
  <si>
    <t>sms group gmbh</t>
  </si>
  <si>
    <t>sms-group.com</t>
  </si>
  <si>
    <t>sulzer ag</t>
  </si>
  <si>
    <t>sulzer.com</t>
  </si>
  <si>
    <t>tetralaval international sa</t>
  </si>
  <si>
    <t>tetralaval.com</t>
  </si>
  <si>
    <t>unilever n.v.</t>
  </si>
  <si>
    <t>unilever.com</t>
  </si>
  <si>
    <t>valmet corp.</t>
  </si>
  <si>
    <t>valmet.com</t>
  </si>
  <si>
    <t>voith familien verwaltung gmbh</t>
  </si>
  <si>
    <t>voith.com</t>
  </si>
  <si>
    <t>wartsila</t>
  </si>
  <si>
    <t>ALSTOM</t>
  </si>
  <si>
    <t>www.alstom.com</t>
  </si>
  <si>
    <t>Technipfmc</t>
  </si>
  <si>
    <t>http://www.technipfmc.com</t>
  </si>
  <si>
    <t>Novo Nordisk</t>
  </si>
  <si>
    <t>www.novonordisk.com</t>
  </si>
  <si>
    <t>Permasteelisa SpA</t>
  </si>
  <si>
    <t>http://www.permasteelisagroup.com</t>
  </si>
  <si>
    <t>Lindner AG</t>
  </si>
  <si>
    <t>http://www.lindnerprater.co.uk</t>
  </si>
  <si>
    <t>IGO IMMOBILIENGESELLSCHAFT</t>
  </si>
  <si>
    <t>www.ortner-anlagen.at</t>
  </si>
  <si>
    <t>STRABAG BRVZ</t>
  </si>
  <si>
    <t>www.strabag.at</t>
  </si>
  <si>
    <t>TOTAL SA</t>
  </si>
  <si>
    <t>www.totalenergies.com</t>
  </si>
  <si>
    <t>BABCOCK GROUP</t>
  </si>
  <si>
    <t>GKN Automotive</t>
  </si>
  <si>
    <t>Philips electronics nv</t>
  </si>
  <si>
    <t>Digital factory</t>
  </si>
  <si>
    <t>3d animation</t>
  </si>
  <si>
    <t>3d animation software</t>
  </si>
  <si>
    <t>3d cad</t>
  </si>
  <si>
    <t>3d design engineering</t>
  </si>
  <si>
    <t>3d modeling</t>
  </si>
  <si>
    <t>ai factory</t>
  </si>
  <si>
    <t>ai for manufacturing</t>
  </si>
  <si>
    <t>autocad</t>
  </si>
  <si>
    <t>autodesk (adsk)</t>
  </si>
  <si>
    <t>autodesk arnold</t>
  </si>
  <si>
    <t>autodesk autocad lt</t>
  </si>
  <si>
    <t>autodesk build</t>
  </si>
  <si>
    <t>autodesk cfd</t>
  </si>
  <si>
    <t>autodesk construction solutions (acs)</t>
  </si>
  <si>
    <t>autodesk design review</t>
  </si>
  <si>
    <t>autodesk drive</t>
  </si>
  <si>
    <t>autodesk factory design utilities</t>
  </si>
  <si>
    <t>autodesk featurecam</t>
  </si>
  <si>
    <t>autodesk forge</t>
  </si>
  <si>
    <t>autodesk fusion 360</t>
  </si>
  <si>
    <t>autodesk inventor</t>
  </si>
  <si>
    <t>autodesk revit</t>
  </si>
  <si>
    <t>autodesk vault</t>
  </si>
  <si>
    <t>autodesk vred</t>
  </si>
  <si>
    <t>bim 360</t>
  </si>
  <si>
    <t>building information modeling (bim)</t>
  </si>
  <si>
    <t>connected factory</t>
  </si>
  <si>
    <t>design software</t>
  </si>
  <si>
    <t>digital building lifecycle</t>
  </si>
  <si>
    <t>digital factory</t>
  </si>
  <si>
    <t>digital manufacturing</t>
  </si>
  <si>
    <t>digital twin</t>
  </si>
  <si>
    <t>factory automation</t>
  </si>
  <si>
    <t>factory of the future</t>
  </si>
  <si>
    <t>manufacturing cost reduction</t>
  </si>
  <si>
    <t>manufacturing efficiency</t>
  </si>
  <si>
    <t>manufacturing operations</t>
  </si>
  <si>
    <t>manufacturing software</t>
  </si>
  <si>
    <t>process simulation</t>
  </si>
  <si>
    <t>production execution</t>
  </si>
  <si>
    <t>production management</t>
  </si>
  <si>
    <t>production planning</t>
  </si>
  <si>
    <t>production workflow</t>
  </si>
  <si>
    <t>simulation software</t>
  </si>
  <si>
    <t>smart factory</t>
  </si>
  <si>
    <t>digital transformation</t>
  </si>
  <si>
    <t>artificial intelligence</t>
  </si>
  <si>
    <t>cost efficiency</t>
  </si>
  <si>
    <t>Operational Efficiency</t>
  </si>
  <si>
    <t>Process Optimization</t>
  </si>
  <si>
    <t>Productivity</t>
  </si>
  <si>
    <t>project collaboration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</si>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</sst>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_-[$$-409]* #,##0.00_ ;_-[$$-409]* \-#,##0.00\ ;_-[$$-409]* &quot;-&quot;??_ ;_-@_ "/>
  </numFmts>
  <fonts count="32">
    <font>
      <sz val="11"/>
      <color theme="1"/>
      <name val="Calibri"/>
      <family val="2"/>
      <scheme val="minor"/>
    </font>
    <font>
      <sz val="14"/>
      <color rgb="FF000000"/>
      <name val="Browallia New"/>
      <family val="2"/>
      <charset val="222"/>
    </font>
    <font>
      <b/>
      <sz val="14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rgb="FF333333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Browallia New"/>
      <family val="2"/>
      <charset val="222"/>
    </font>
    <font>
      <b/>
      <sz val="11"/>
      <color rgb="FF1D1C1D"/>
      <name val="Slack-Lato"/>
    </font>
    <font>
      <b/>
      <sz val="11"/>
      <color rgb="FF1D1C1D"/>
      <name val="Slack-Lato"/>
      <charset val="1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1"/>
    </font>
    <font>
      <b/>
      <sz val="14"/>
      <name val="Calibri"/>
      <family val="2"/>
      <scheme val="minor"/>
    </font>
    <font>
      <b/>
      <sz val="10"/>
      <name val="Calibri"/>
      <scheme val="minor"/>
    </font>
    <font>
      <b/>
      <sz val="10"/>
      <color theme="1"/>
      <name val="Calibri"/>
      <scheme val="minor"/>
    </font>
    <font>
      <b/>
      <sz val="11"/>
      <color rgb="FFFFFFFF"/>
      <name val="Aptos Narrow"/>
      <family val="2"/>
    </font>
    <font>
      <sz val="12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000000"/>
      <name val="Aptos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indexed="64"/>
      </right>
      <top/>
      <bottom style="thin">
        <color rgb="FF44B3E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9">
    <xf numFmtId="0" fontId="0" fillId="0" borderId="0" xfId="0"/>
    <xf numFmtId="0" fontId="1" fillId="2" borderId="0" xfId="0" applyFont="1" applyFill="1"/>
    <xf numFmtId="0" fontId="3" fillId="2" borderId="1" xfId="0" applyFont="1" applyFill="1" applyBorder="1"/>
    <xf numFmtId="0" fontId="4" fillId="3" borderId="2" xfId="0" applyFont="1" applyFill="1" applyBorder="1"/>
    <xf numFmtId="0" fontId="4" fillId="2" borderId="1" xfId="0" applyFont="1" applyFill="1" applyBorder="1"/>
    <xf numFmtId="0" fontId="1" fillId="2" borderId="0" xfId="0" applyFont="1" applyFill="1" applyAlignment="1">
      <alignment horizontal="center"/>
    </xf>
    <xf numFmtId="0" fontId="4" fillId="3" borderId="6" xfId="0" applyFont="1" applyFill="1" applyBorder="1"/>
    <xf numFmtId="0" fontId="2" fillId="3" borderId="7" xfId="0" applyFont="1" applyFill="1" applyBorder="1"/>
    <xf numFmtId="0" fontId="6" fillId="2" borderId="8" xfId="0" applyFont="1" applyFill="1" applyBorder="1" applyAlignment="1">
      <alignment readingOrder="1"/>
    </xf>
    <xf numFmtId="0" fontId="2" fillId="3" borderId="10" xfId="0" applyFont="1" applyFill="1" applyBorder="1" applyAlignment="1">
      <alignment horizontal="right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7" fillId="0" borderId="13" xfId="0" applyFont="1" applyBorder="1"/>
    <xf numFmtId="0" fontId="7" fillId="0" borderId="12" xfId="0" applyFont="1" applyBorder="1"/>
    <xf numFmtId="0" fontId="6" fillId="2" borderId="1" xfId="0" applyFont="1" applyFill="1" applyBorder="1" applyAlignment="1">
      <alignment readingOrder="1"/>
    </xf>
    <xf numFmtId="0" fontId="4" fillId="3" borderId="7" xfId="0" applyFont="1" applyFill="1" applyBorder="1"/>
    <xf numFmtId="164" fontId="2" fillId="3" borderId="8" xfId="0" applyNumberFormat="1" applyFont="1" applyFill="1" applyBorder="1"/>
    <xf numFmtId="0" fontId="2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indent="1"/>
    </xf>
    <xf numFmtId="0" fontId="5" fillId="3" borderId="5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4" fillId="2" borderId="7" xfId="0" applyFont="1" applyFill="1" applyBorder="1"/>
    <xf numFmtId="0" fontId="16" fillId="0" borderId="16" xfId="0" applyFont="1" applyBorder="1"/>
    <xf numFmtId="0" fontId="0" fillId="0" borderId="16" xfId="0" applyBorder="1"/>
    <xf numFmtId="0" fontId="4" fillId="0" borderId="16" xfId="0" applyFont="1" applyBorder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4" fillId="4" borderId="3" xfId="0" applyFont="1" applyFill="1" applyBorder="1"/>
    <xf numFmtId="0" fontId="4" fillId="4" borderId="4" xfId="0" applyFont="1" applyFill="1" applyBorder="1"/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4" fillId="0" borderId="3" xfId="1" applyFont="1" applyFill="1" applyBorder="1" applyAlignment="1">
      <alignment horizontal="left"/>
    </xf>
    <xf numFmtId="0" fontId="14" fillId="0" borderId="4" xfId="1" applyFont="1" applyFill="1" applyBorder="1" applyAlignment="1">
      <alignment horizontal="left"/>
    </xf>
    <xf numFmtId="0" fontId="4" fillId="0" borderId="8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11" xfId="0" applyFont="1" applyBorder="1"/>
    <xf numFmtId="0" fontId="14" fillId="0" borderId="8" xfId="1" applyFont="1" applyFill="1" applyBorder="1" applyAlignment="1"/>
    <xf numFmtId="0" fontId="21" fillId="0" borderId="1" xfId="0" applyFont="1" applyBorder="1"/>
    <xf numFmtId="0" fontId="22" fillId="0" borderId="3" xfId="0" applyFont="1" applyBorder="1"/>
    <xf numFmtId="0" fontId="21" fillId="0" borderId="3" xfId="0" applyFont="1" applyBorder="1"/>
    <xf numFmtId="0" fontId="21" fillId="0" borderId="4" xfId="0" applyFont="1" applyBorder="1"/>
    <xf numFmtId="0" fontId="21" fillId="0" borderId="7" xfId="0" applyFont="1" applyBorder="1"/>
    <xf numFmtId="0" fontId="24" fillId="0" borderId="0" xfId="0" applyFont="1"/>
    <xf numFmtId="0" fontId="24" fillId="0" borderId="16" xfId="0" applyFont="1" applyBorder="1"/>
    <xf numFmtId="0" fontId="24" fillId="0" borderId="7" xfId="0" applyFont="1" applyBorder="1"/>
    <xf numFmtId="0" fontId="21" fillId="0" borderId="0" xfId="0" applyFont="1"/>
    <xf numFmtId="0" fontId="21" fillId="0" borderId="16" xfId="0" applyFont="1" applyBorder="1"/>
    <xf numFmtId="0" fontId="0" fillId="0" borderId="9" xfId="0" applyBorder="1"/>
    <xf numFmtId="0" fontId="0" fillId="0" borderId="18" xfId="0" applyBorder="1"/>
    <xf numFmtId="0" fontId="0" fillId="0" borderId="17" xfId="0" applyBorder="1"/>
    <xf numFmtId="16" fontId="4" fillId="0" borderId="1" xfId="0" applyNumberFormat="1" applyFont="1" applyBorder="1"/>
    <xf numFmtId="0" fontId="7" fillId="0" borderId="8" xfId="0" applyFont="1" applyBorder="1" applyAlignment="1">
      <alignment vertical="top" wrapText="1"/>
    </xf>
    <xf numFmtId="0" fontId="13" fillId="0" borderId="19" xfId="1" applyBorder="1"/>
    <xf numFmtId="0" fontId="13" fillId="0" borderId="0" xfId="1"/>
    <xf numFmtId="0" fontId="0" fillId="0" borderId="0" xfId="0" applyAlignment="1">
      <alignment vertical="top"/>
    </xf>
    <xf numFmtId="0" fontId="13" fillId="6" borderId="0" xfId="1" applyFill="1" applyAlignment="1">
      <alignment vertical="top" readingOrder="1"/>
    </xf>
    <xf numFmtId="0" fontId="26" fillId="7" borderId="0" xfId="0" applyFont="1" applyFill="1"/>
    <xf numFmtId="0" fontId="27" fillId="7" borderId="0" xfId="0" applyFont="1" applyFill="1"/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65" fontId="7" fillId="0" borderId="14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0" fontId="28" fillId="8" borderId="20" xfId="0" applyFont="1" applyFill="1" applyBorder="1" applyAlignment="1">
      <alignment horizontal="center"/>
    </xf>
    <xf numFmtId="0" fontId="28" fillId="8" borderId="21" xfId="0" applyFont="1" applyFill="1" applyBorder="1" applyAlignment="1">
      <alignment horizontal="center"/>
    </xf>
    <xf numFmtId="0" fontId="28" fillId="8" borderId="22" xfId="0" applyFont="1" applyFill="1" applyBorder="1" applyAlignment="1">
      <alignment horizontal="center"/>
    </xf>
    <xf numFmtId="0" fontId="23" fillId="9" borderId="23" xfId="0" applyFont="1" applyFill="1" applyBorder="1"/>
    <xf numFmtId="0" fontId="23" fillId="9" borderId="0" xfId="0" applyFont="1" applyFill="1"/>
    <xf numFmtId="0" fontId="23" fillId="9" borderId="15" xfId="0" applyFont="1" applyFill="1" applyBorder="1"/>
    <xf numFmtId="0" fontId="23" fillId="0" borderId="23" xfId="0" applyFont="1" applyBorder="1"/>
    <xf numFmtId="0" fontId="23" fillId="0" borderId="0" xfId="0" applyFont="1"/>
    <xf numFmtId="0" fontId="23" fillId="0" borderId="15" xfId="0" applyFont="1" applyBorder="1"/>
    <xf numFmtId="0" fontId="23" fillId="9" borderId="24" xfId="0" applyFont="1" applyFill="1" applyBorder="1"/>
    <xf numFmtId="0" fontId="23" fillId="9" borderId="25" xfId="0" applyFont="1" applyFill="1" applyBorder="1"/>
    <xf numFmtId="0" fontId="23" fillId="9" borderId="26" xfId="0" applyFont="1" applyFill="1" applyBorder="1"/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0" fontId="29" fillId="2" borderId="30" xfId="0" applyFont="1" applyFill="1" applyBorder="1" applyAlignment="1">
      <alignment horizontal="left"/>
    </xf>
    <xf numFmtId="0" fontId="13" fillId="2" borderId="30" xfId="1" applyFill="1" applyBorder="1" applyAlignment="1">
      <alignment horizontal="left"/>
    </xf>
    <xf numFmtId="0" fontId="29" fillId="10" borderId="30" xfId="0" applyFont="1" applyFill="1" applyBorder="1" applyAlignment="1">
      <alignment horizontal="left"/>
    </xf>
    <xf numFmtId="0" fontId="29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left"/>
    </xf>
    <xf numFmtId="0" fontId="4" fillId="11" borderId="4" xfId="0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3" fillId="5" borderId="9" xfId="0" applyFont="1" applyFill="1" applyBorder="1" applyAlignment="1">
      <alignment horizontal="center"/>
    </xf>
    <xf numFmtId="0" fontId="23" fillId="5" borderId="18" xfId="0" applyFont="1" applyFill="1" applyBorder="1" applyAlignment="1">
      <alignment horizontal="center"/>
    </xf>
    <xf numFmtId="0" fontId="23" fillId="5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115253</xdr:colOff>
      <xdr:row>1</xdr:row>
      <xdr:rowOff>53340</xdr:rowOff>
    </xdr:from>
    <xdr:to>
      <xdr:col>11</xdr:col>
      <xdr:colOff>207169</xdr:colOff>
      <xdr:row>7</xdr:row>
      <xdr:rowOff>26670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CFF1E-F526-D05A-CEF5-672FB1921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95534" y="303371"/>
          <a:ext cx="3731419" cy="1511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utodesk.com/company/legal-notices-trademarks/privacy-stat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lconsole.madisonlogic.com/opportunity/006PF00000HFTpVYAX/product/00kPF00000KRI8dYAH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:f:/s/EMEAOperations/EkTJflCeAY5Or-GkUbZYWcAB_iglx_CG8X1t6J-O9SfXog?e=0JFEB3" TargetMode="External"/><Relationship Id="rId3" Type="http://schemas.openxmlformats.org/officeDocument/2006/relationships/hyperlink" Target="https://asset-public.madisonlogic.com/production/asset-landing/104624_262997.html" TargetMode="External"/><Relationship Id="rId7" Type="http://schemas.openxmlformats.org/officeDocument/2006/relationships/hyperlink" Target="https://asset-public.madisonlogic.com/production/asset-landing/104622_263101.html" TargetMode="External"/><Relationship Id="rId2" Type="http://schemas.openxmlformats.org/officeDocument/2006/relationships/hyperlink" Target="https://asset-public.madisonlogic.com/production/asset-landing/104624_262996.html" TargetMode="External"/><Relationship Id="rId1" Type="http://schemas.openxmlformats.org/officeDocument/2006/relationships/hyperlink" Target="../../../../../../../:f:/s/EMEAOperations/EpT1apNinNxHiAvxw4Q9srsBzD71RhV7A4Ek2JoHhUY68A?e=rhWYiQ" TargetMode="External"/><Relationship Id="rId6" Type="http://schemas.openxmlformats.org/officeDocument/2006/relationships/hyperlink" Target="https://asset-public.madisonlogic.com/production/asset-landing/104622_263100.html" TargetMode="External"/><Relationship Id="rId5" Type="http://schemas.openxmlformats.org/officeDocument/2006/relationships/hyperlink" Target="https://asset-public.madisonlogic.com/production/asset-landing/104622_263099.html" TargetMode="External"/><Relationship Id="rId4" Type="http://schemas.openxmlformats.org/officeDocument/2006/relationships/hyperlink" Target="https://asset-public.madisonlogic.com/production/asset-landing/104624_262998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file:///\\Users\mcdermg\Downloads\www.strabag.at" TargetMode="External"/><Relationship Id="rId3" Type="http://schemas.openxmlformats.org/officeDocument/2006/relationships/hyperlink" Target="http://www.technipfmc.com/" TargetMode="External"/><Relationship Id="rId7" Type="http://schemas.openxmlformats.org/officeDocument/2006/relationships/hyperlink" Target="file:///\\Users\mcdermg\Downloads\www.ortner-anlagen.at" TargetMode="External"/><Relationship Id="rId2" Type="http://schemas.openxmlformats.org/officeDocument/2006/relationships/hyperlink" Target="file:///\\Users\mcdermg\Downloads\www.alstom.com" TargetMode="External"/><Relationship Id="rId1" Type="http://schemas.openxmlformats.org/officeDocument/2006/relationships/hyperlink" Target="../../../../../../../:x:/s/EMEAOperations/EV2-JCdhK6REso7k3bLegwYBNop42wqioNVr75Xn0IFv6g?e=RcLdpg" TargetMode="External"/><Relationship Id="rId6" Type="http://schemas.openxmlformats.org/officeDocument/2006/relationships/hyperlink" Target="http://www.lindnerprater.co.uk/" TargetMode="External"/><Relationship Id="rId5" Type="http://schemas.openxmlformats.org/officeDocument/2006/relationships/hyperlink" Target="http://www.permasteelisagroup.com/" TargetMode="External"/><Relationship Id="rId4" Type="http://schemas.openxmlformats.org/officeDocument/2006/relationships/hyperlink" Target="file:///\\Users\mcdermg\Downloads\www.novonordisk.com" TargetMode="External"/><Relationship Id="rId9" Type="http://schemas.openxmlformats.org/officeDocument/2006/relationships/hyperlink" Target="file:///\\Users\mcdermg\Downloads\www.totalenerg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624D-2F31-480E-8473-21A464DA4A94}">
  <dimension ref="A1:V103"/>
  <sheetViews>
    <sheetView tabSelected="1" topLeftCell="A22" zoomScale="80" zoomScaleNormal="80" workbookViewId="0">
      <selection activeCell="B28" sqref="B28:C28"/>
    </sheetView>
  </sheetViews>
  <sheetFormatPr defaultColWidth="9.1796875" defaultRowHeight="15" customHeight="1"/>
  <cols>
    <col min="1" max="1" width="33.1796875" customWidth="1"/>
    <col min="2" max="2" width="62.26953125" customWidth="1"/>
    <col min="3" max="3" width="34.81640625" customWidth="1"/>
    <col min="4" max="4" width="21.81640625" customWidth="1"/>
    <col min="5" max="5" width="30.54296875" customWidth="1"/>
  </cols>
  <sheetData>
    <row r="1" spans="1:22" ht="20">
      <c r="A1" s="21" t="s">
        <v>0</v>
      </c>
      <c r="B1" s="2" t="s">
        <v>1</v>
      </c>
      <c r="C1" s="3"/>
      <c r="D1" s="108" t="s">
        <v>2</v>
      </c>
      <c r="E1" s="10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9.899999999999999" customHeight="1">
      <c r="A2" s="21" t="s">
        <v>3</v>
      </c>
      <c r="B2" s="8" t="s">
        <v>4</v>
      </c>
      <c r="C2" s="19"/>
      <c r="D2" s="37"/>
      <c r="E2" s="2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9.899999999999999" customHeight="1">
      <c r="A3" s="21" t="s">
        <v>5</v>
      </c>
      <c r="B3" s="18"/>
      <c r="C3" s="19"/>
      <c r="E3" s="2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0">
      <c r="A4" s="21" t="s">
        <v>6</v>
      </c>
      <c r="B4" s="2" t="s">
        <v>7</v>
      </c>
      <c r="C4" s="19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9.899999999999999" customHeight="1">
      <c r="A5" s="22" t="s">
        <v>8</v>
      </c>
      <c r="B5" s="4" t="s">
        <v>9</v>
      </c>
      <c r="C5" s="19"/>
      <c r="E5" s="3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0">
      <c r="A6" s="22" t="s">
        <v>10</v>
      </c>
      <c r="B6" s="4" t="s">
        <v>11</v>
      </c>
      <c r="C6" s="19"/>
      <c r="E6" s="32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0">
      <c r="A7" s="23" t="s">
        <v>12</v>
      </c>
      <c r="B7" s="4" t="s">
        <v>11</v>
      </c>
      <c r="C7" s="6"/>
      <c r="D7" s="104"/>
      <c r="E7" s="10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0">
      <c r="A8" s="23" t="s">
        <v>13</v>
      </c>
      <c r="B8" s="30" t="s">
        <v>9</v>
      </c>
      <c r="C8" s="6"/>
      <c r="D8" s="28"/>
      <c r="E8" s="33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0">
      <c r="A9" s="24" t="s">
        <v>14</v>
      </c>
      <c r="B9" s="7" t="s">
        <v>3</v>
      </c>
      <c r="C9" s="75" t="s">
        <v>15</v>
      </c>
      <c r="D9" s="76" t="s">
        <v>16</v>
      </c>
      <c r="E9" s="74" t="s">
        <v>17</v>
      </c>
      <c r="F9" s="5"/>
      <c r="G9" s="5"/>
      <c r="H9" s="5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0">
      <c r="A10" s="24"/>
      <c r="B10" s="16" t="s">
        <v>18</v>
      </c>
      <c r="C10" s="77">
        <v>55</v>
      </c>
      <c r="D10" s="78">
        <v>72</v>
      </c>
      <c r="E10" s="79">
        <f>C10*D10</f>
        <v>3960</v>
      </c>
      <c r="F10" s="5"/>
      <c r="G10" s="5"/>
      <c r="H10" s="5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0">
      <c r="A11" s="24"/>
      <c r="B11" s="17" t="s">
        <v>19</v>
      </c>
      <c r="C11" s="80">
        <v>55</v>
      </c>
      <c r="D11" s="81">
        <v>73</v>
      </c>
      <c r="E11" s="79">
        <f>C11*D11</f>
        <v>4015</v>
      </c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0">
      <c r="A12" s="24"/>
      <c r="B12" s="25" t="s">
        <v>20</v>
      </c>
      <c r="C12" s="3"/>
      <c r="D12" s="9"/>
      <c r="E12" s="20">
        <f>E10+E11</f>
        <v>7975</v>
      </c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9.899999999999999" customHeight="1">
      <c r="A13" s="26" t="s">
        <v>21</v>
      </c>
      <c r="B13" s="46" t="s">
        <v>22</v>
      </c>
      <c r="C13" s="38"/>
      <c r="D13" s="38"/>
      <c r="E13" s="3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9.899999999999999" customHeight="1">
      <c r="A14" s="26" t="s">
        <v>23</v>
      </c>
      <c r="B14" s="40" t="s">
        <v>24</v>
      </c>
      <c r="C14" s="41"/>
      <c r="D14" s="41"/>
      <c r="E14" s="4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4.65" customHeight="1">
      <c r="A15" s="21" t="s">
        <v>25</v>
      </c>
      <c r="B15" s="113" t="s">
        <v>26</v>
      </c>
      <c r="C15" s="114"/>
      <c r="D15" s="114"/>
      <c r="E15" s="11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9.899999999999999" customHeight="1">
      <c r="A16" s="21" t="s">
        <v>27</v>
      </c>
      <c r="B16" s="46" t="s">
        <v>28</v>
      </c>
      <c r="C16" s="47"/>
      <c r="D16" s="47"/>
      <c r="E16" s="4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9.899999999999999" customHeight="1">
      <c r="A17" s="21" t="s">
        <v>29</v>
      </c>
      <c r="B17" s="46" t="s">
        <v>28</v>
      </c>
      <c r="C17" s="47"/>
      <c r="D17" s="47"/>
      <c r="E17" s="4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9.899999999999999" customHeight="1">
      <c r="A18" s="26" t="s">
        <v>30</v>
      </c>
      <c r="B18" s="40" t="s">
        <v>26</v>
      </c>
      <c r="C18" s="41"/>
      <c r="D18" s="41"/>
      <c r="E18" s="4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9.899999999999999" customHeight="1">
      <c r="A19" s="21" t="s">
        <v>31</v>
      </c>
      <c r="B19" s="46" t="s">
        <v>28</v>
      </c>
      <c r="C19" s="47"/>
      <c r="D19" s="47"/>
      <c r="E19" s="48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9.899999999999999" customHeight="1">
      <c r="A20" s="27" t="s">
        <v>32</v>
      </c>
      <c r="B20" s="46" t="s">
        <v>33</v>
      </c>
      <c r="C20" s="47"/>
      <c r="D20" s="47"/>
      <c r="E20" s="48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9.899999999999999" customHeight="1">
      <c r="A21" s="27" t="s">
        <v>34</v>
      </c>
      <c r="B21" s="66" t="s">
        <v>35</v>
      </c>
      <c r="C21" s="47"/>
      <c r="D21" s="47"/>
      <c r="E21" s="48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9.899999999999999" customHeight="1">
      <c r="A22" s="27" t="s">
        <v>36</v>
      </c>
      <c r="B22" s="46" t="s">
        <v>26</v>
      </c>
      <c r="C22" s="47"/>
      <c r="D22" s="47"/>
      <c r="E22" s="48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>
      <c r="A23" s="106" t="s">
        <v>37</v>
      </c>
      <c r="B23" s="49" t="s">
        <v>26</v>
      </c>
      <c r="C23" s="50"/>
      <c r="D23" s="50"/>
      <c r="E23" s="51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>
      <c r="A24" s="107"/>
      <c r="B24" s="52"/>
      <c r="C24" s="52"/>
      <c r="D24" s="52"/>
      <c r="E24" s="52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>
      <c r="A25" s="21" t="s">
        <v>38</v>
      </c>
      <c r="B25" s="49" t="s">
        <v>39</v>
      </c>
      <c r="C25" s="43"/>
      <c r="D25" s="43"/>
      <c r="E25" s="44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9.899999999999999" customHeight="1">
      <c r="A26" s="26" t="s">
        <v>40</v>
      </c>
      <c r="B26" s="46" t="s">
        <v>41</v>
      </c>
      <c r="C26" s="47"/>
      <c r="D26" s="47"/>
      <c r="E26" s="4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9.899999999999999" customHeight="1">
      <c r="A27" s="21" t="s">
        <v>42</v>
      </c>
      <c r="B27" s="46" t="s">
        <v>26</v>
      </c>
      <c r="C27" s="47"/>
      <c r="D27" s="47"/>
      <c r="E27" s="4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44.5" customHeight="1">
      <c r="A28" s="27" t="s">
        <v>43</v>
      </c>
      <c r="B28" s="67" t="s">
        <v>44</v>
      </c>
      <c r="C28" s="68" t="s">
        <v>45</v>
      </c>
      <c r="D28" s="45"/>
      <c r="E28" s="4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9.899999999999999" customHeight="1">
      <c r="A29" s="21" t="s">
        <v>46</v>
      </c>
      <c r="B29" s="110" t="s">
        <v>47</v>
      </c>
      <c r="C29" s="111"/>
      <c r="D29" s="111"/>
      <c r="E29" s="11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0.5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0">
      <c r="A35" s="1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0">
      <c r="A36" s="1"/>
      <c r="B36" s="1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0">
      <c r="A37" s="1"/>
      <c r="B37" s="1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0">
      <c r="A38" s="1"/>
      <c r="B38" s="1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0">
      <c r="A39" s="1"/>
      <c r="B39" s="1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0">
      <c r="A40" s="1"/>
      <c r="B40" s="1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0">
      <c r="A41" s="1"/>
      <c r="B41" s="1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0">
      <c r="A42" s="1"/>
      <c r="B42" s="1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0">
      <c r="A43" s="1"/>
      <c r="B43" s="1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0">
      <c r="A44" s="1"/>
      <c r="B44" s="1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0">
      <c r="A76" s="1"/>
      <c r="B76" s="15"/>
      <c r="C76" s="15"/>
      <c r="D76" s="15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0">
      <c r="A77" s="1"/>
      <c r="B77" s="15"/>
      <c r="C77" s="15"/>
      <c r="D77" s="15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0">
      <c r="A78" s="1"/>
      <c r="B78" s="15"/>
      <c r="C78" s="15"/>
      <c r="D78" s="15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0">
      <c r="A79" s="1"/>
      <c r="B79" s="15"/>
      <c r="C79" s="15"/>
      <c r="D79" s="15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0">
      <c r="A80" s="1"/>
      <c r="B80" s="15"/>
      <c r="C80" s="15"/>
      <c r="D80" s="15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0">
      <c r="A81" s="1"/>
      <c r="B81" s="15"/>
      <c r="C81" s="15"/>
      <c r="D81" s="15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0">
      <c r="A82" s="1"/>
      <c r="B82" s="15"/>
      <c r="C82" s="15"/>
      <c r="D82" s="15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0">
      <c r="A83" s="1"/>
      <c r="B83" s="15"/>
      <c r="C83" s="15"/>
      <c r="D83" s="15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0">
      <c r="A84" s="1"/>
      <c r="B84" s="15"/>
      <c r="C84" s="15"/>
      <c r="D84" s="15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0">
      <c r="A85" s="1"/>
      <c r="B85" s="15"/>
      <c r="C85" s="15"/>
      <c r="D85" s="15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0">
      <c r="A86" s="1"/>
      <c r="B86" s="15"/>
      <c r="C86" s="15"/>
      <c r="D86" s="15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0">
      <c r="A87" s="1"/>
      <c r="B87" s="15"/>
      <c r="C87" s="15"/>
      <c r="D87" s="15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0">
      <c r="A88" s="1"/>
      <c r="B88" s="15"/>
      <c r="C88" s="15"/>
      <c r="D88" s="15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0">
      <c r="A89" s="1"/>
      <c r="B89" s="15"/>
      <c r="C89" s="15"/>
      <c r="D89" s="15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0">
      <c r="A90" s="1"/>
      <c r="B90" s="15"/>
      <c r="C90" s="15"/>
      <c r="D90" s="15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0">
      <c r="A91" s="1"/>
      <c r="B91" s="15"/>
      <c r="C91" s="15"/>
      <c r="D91" s="15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0">
      <c r="A92" s="1"/>
      <c r="B92" s="15"/>
      <c r="C92" s="15"/>
      <c r="D92" s="15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0">
      <c r="A93" s="1"/>
      <c r="B93" s="15"/>
      <c r="C93" s="15"/>
      <c r="D93" s="15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0">
      <c r="A94" s="1"/>
      <c r="B94" s="15"/>
      <c r="C94" s="15"/>
      <c r="D94" s="15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0">
      <c r="A95" s="1"/>
      <c r="B95" s="15"/>
      <c r="C95" s="15"/>
      <c r="D95" s="15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0">
      <c r="A96" s="1"/>
      <c r="B96" s="15"/>
      <c r="C96" s="15"/>
      <c r="D96" s="15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0">
      <c r="A97" s="1"/>
      <c r="B97" s="15"/>
      <c r="C97" s="15"/>
      <c r="D97" s="15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0">
      <c r="A98" s="1"/>
      <c r="B98" s="15"/>
      <c r="C98" s="15"/>
      <c r="D98" s="15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0">
      <c r="A99" s="1"/>
      <c r="B99" s="15"/>
      <c r="C99" s="15"/>
      <c r="D99" s="15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5"/>
    <row r="101" spans="1:22" ht="14.5"/>
    <row r="102" spans="1:22" ht="14.5"/>
    <row r="103" spans="1:22" ht="14.5"/>
  </sheetData>
  <mergeCells count="5">
    <mergeCell ref="D7:E7"/>
    <mergeCell ref="A23:A24"/>
    <mergeCell ref="D1:E1"/>
    <mergeCell ref="B29:E29"/>
    <mergeCell ref="B15:E15"/>
  </mergeCells>
  <hyperlinks>
    <hyperlink ref="C28" r:id="rId1" display="https://www.autodesk.com/company/legal-notices-trademarks/privacy-statement" xr:uid="{75DB4470-8E07-4A9D-B314-B5C6AC8EF8A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F9C5-861C-4825-AF5B-7DCA1145B6FF}">
  <dimension ref="A1:C6"/>
  <sheetViews>
    <sheetView workbookViewId="0">
      <selection activeCell="C5" sqref="C5"/>
    </sheetView>
  </sheetViews>
  <sheetFormatPr defaultRowHeight="14.5"/>
  <cols>
    <col min="3" max="3" width="56.7265625" customWidth="1"/>
  </cols>
  <sheetData>
    <row r="1" spans="1:3">
      <c r="A1" t="s">
        <v>48</v>
      </c>
      <c r="B1" s="69">
        <v>104582</v>
      </c>
      <c r="C1" t="s">
        <v>49</v>
      </c>
    </row>
    <row r="5" spans="1:3">
      <c r="C5" s="14" t="s">
        <v>50</v>
      </c>
    </row>
    <row r="6" spans="1:3">
      <c r="C6" t="s">
        <v>51</v>
      </c>
    </row>
  </sheetData>
  <hyperlinks>
    <hyperlink ref="B1" r:id="rId1" display="104582" xr:uid="{892686F8-66F1-4632-A05B-DBD7516193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0645-70AA-4928-8460-0352E34035E4}">
  <dimension ref="A1:E10"/>
  <sheetViews>
    <sheetView workbookViewId="0">
      <selection activeCell="A12" sqref="A12"/>
    </sheetView>
  </sheetViews>
  <sheetFormatPr defaultRowHeight="14.5"/>
  <cols>
    <col min="1" max="1" width="27.453125" bestFit="1" customWidth="1"/>
    <col min="3" max="3" width="25.453125" bestFit="1" customWidth="1"/>
    <col min="5" max="5" width="26" bestFit="1" customWidth="1"/>
  </cols>
  <sheetData>
    <row r="1" spans="1:5">
      <c r="A1" s="53" t="s">
        <v>52</v>
      </c>
      <c r="B1" s="54"/>
      <c r="C1" s="55" t="s">
        <v>53</v>
      </c>
      <c r="D1" s="54"/>
      <c r="E1" s="56" t="s">
        <v>54</v>
      </c>
    </row>
    <row r="2" spans="1:5">
      <c r="A2" s="116" t="s">
        <v>55</v>
      </c>
      <c r="B2" s="117"/>
      <c r="C2" s="117"/>
      <c r="D2" s="117"/>
      <c r="E2" s="118"/>
    </row>
    <row r="3" spans="1:5">
      <c r="A3" s="57" t="s">
        <v>56</v>
      </c>
      <c r="C3" s="58" t="s">
        <v>57</v>
      </c>
      <c r="E3" s="59" t="s">
        <v>58</v>
      </c>
    </row>
    <row r="4" spans="1:5">
      <c r="A4" s="60" t="s">
        <v>59</v>
      </c>
      <c r="C4" s="58" t="s">
        <v>60</v>
      </c>
      <c r="E4" s="59" t="s">
        <v>61</v>
      </c>
    </row>
    <row r="5" spans="1:5">
      <c r="A5" s="60" t="s">
        <v>62</v>
      </c>
      <c r="C5" s="58" t="s">
        <v>63</v>
      </c>
      <c r="E5" s="59" t="s">
        <v>64</v>
      </c>
    </row>
    <row r="6" spans="1:5">
      <c r="A6" s="57" t="s">
        <v>65</v>
      </c>
      <c r="C6" s="61" t="s">
        <v>66</v>
      </c>
      <c r="E6" s="59" t="s">
        <v>67</v>
      </c>
    </row>
    <row r="7" spans="1:5">
      <c r="A7" s="60" t="s">
        <v>68</v>
      </c>
      <c r="E7" s="59" t="s">
        <v>69</v>
      </c>
    </row>
    <row r="8" spans="1:5">
      <c r="A8" s="60" t="s">
        <v>70</v>
      </c>
      <c r="E8" s="59" t="s">
        <v>71</v>
      </c>
    </row>
    <row r="9" spans="1:5">
      <c r="A9" s="60"/>
      <c r="E9" s="62" t="s">
        <v>72</v>
      </c>
    </row>
    <row r="10" spans="1:5">
      <c r="A10" s="63"/>
      <c r="B10" s="64"/>
      <c r="C10" s="64"/>
      <c r="D10" s="64"/>
      <c r="E10" s="65"/>
    </row>
  </sheetData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0288-9C4C-474B-A008-686BE6164F4C}">
  <dimension ref="A1:B11"/>
  <sheetViews>
    <sheetView workbookViewId="0">
      <selection activeCell="A20" sqref="A20"/>
    </sheetView>
  </sheetViews>
  <sheetFormatPr defaultRowHeight="14.5"/>
  <cols>
    <col min="1" max="1" width="85.453125" customWidth="1"/>
    <col min="2" max="2" width="50.1796875" bestFit="1" customWidth="1"/>
    <col min="5" max="5" width="13.7265625" bestFit="1" customWidth="1"/>
  </cols>
  <sheetData>
    <row r="1" spans="1:2">
      <c r="A1" t="s">
        <v>18</v>
      </c>
      <c r="B1" t="s">
        <v>19</v>
      </c>
    </row>
    <row r="2" spans="1:2">
      <c r="A2" t="s">
        <v>73</v>
      </c>
      <c r="B2" t="s">
        <v>74</v>
      </c>
    </row>
    <row r="3" spans="1:2">
      <c r="A3" s="69" t="s">
        <v>37</v>
      </c>
      <c r="B3" s="69" t="s">
        <v>37</v>
      </c>
    </row>
    <row r="4" spans="1:2">
      <c r="A4" t="s">
        <v>75</v>
      </c>
      <c r="B4" t="s">
        <v>75</v>
      </c>
    </row>
    <row r="5" spans="1:2">
      <c r="A5" s="71" t="s">
        <v>76</v>
      </c>
      <c r="B5" s="71" t="s">
        <v>77</v>
      </c>
    </row>
    <row r="6" spans="1:2">
      <c r="A6" s="71" t="s">
        <v>78</v>
      </c>
      <c r="B6" s="71" t="s">
        <v>79</v>
      </c>
    </row>
    <row r="7" spans="1:2">
      <c r="A7" s="71" t="s">
        <v>80</v>
      </c>
      <c r="B7" s="71" t="s">
        <v>81</v>
      </c>
    </row>
    <row r="8" spans="1:2">
      <c r="A8" s="70"/>
      <c r="B8" s="70"/>
    </row>
    <row r="9" spans="1:2">
      <c r="A9" s="70"/>
      <c r="B9" s="70"/>
    </row>
    <row r="10" spans="1:2">
      <c r="A10" s="70"/>
    </row>
    <row r="11" spans="1:2">
      <c r="A11" s="70"/>
    </row>
  </sheetData>
  <hyperlinks>
    <hyperlink ref="A3" r:id="rId1" xr:uid="{AEC38D63-E86A-4D9B-82BE-7071B77C85AA}"/>
    <hyperlink ref="A5" r:id="rId2" xr:uid="{69C48220-067E-4175-9A38-FCC799897F7D}"/>
    <hyperlink ref="A6" r:id="rId3" xr:uid="{207CAB68-4C24-4C6C-9F53-1DF9C289C16F}"/>
    <hyperlink ref="A7" r:id="rId4" xr:uid="{FD76BFDC-5475-4385-B0D2-735EE842D2EB}"/>
    <hyperlink ref="B7" r:id="rId5" xr:uid="{B4E0C407-1FB6-443C-8ED0-110104B5230E}"/>
    <hyperlink ref="B6" r:id="rId6" xr:uid="{D7668A37-710D-4D14-B178-0AA6364A70E1}"/>
    <hyperlink ref="B5" r:id="rId7" xr:uid="{6B4780AD-F65B-4245-A8E5-45542E19D8E9}"/>
    <hyperlink ref="B3" r:id="rId8" xr:uid="{6D02B003-7F02-4399-A819-924A29E7C96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2D96-B68A-460D-B33F-CC17C53D1A76}">
  <dimension ref="A1:G93"/>
  <sheetViews>
    <sheetView workbookViewId="0">
      <selection activeCell="D71" sqref="D2:D71"/>
    </sheetView>
  </sheetViews>
  <sheetFormatPr defaultRowHeight="14.5"/>
  <cols>
    <col min="1" max="2" width="50.7265625" customWidth="1"/>
    <col min="3" max="3" width="41" bestFit="1" customWidth="1"/>
  </cols>
  <sheetData>
    <row r="1" spans="1:7">
      <c r="A1" s="72" t="s">
        <v>18</v>
      </c>
      <c r="B1" s="72" t="s">
        <v>82</v>
      </c>
      <c r="C1" s="73" t="s">
        <v>19</v>
      </c>
      <c r="D1" s="72" t="s">
        <v>82</v>
      </c>
      <c r="E1" s="36"/>
      <c r="F1" s="36"/>
      <c r="G1" s="36"/>
    </row>
    <row r="2" spans="1:7">
      <c r="A2" t="s">
        <v>83</v>
      </c>
      <c r="B2" t="str">
        <f>CLEAN(TRIM(A2))</f>
        <v>Layout Engineer</v>
      </c>
      <c r="C2" t="s">
        <v>84</v>
      </c>
      <c r="D2" t="str">
        <f>CLEAN(TRIM(C2))</f>
        <v>VP Product Development</v>
      </c>
      <c r="E2" s="36"/>
      <c r="F2" s="36"/>
      <c r="G2" s="36"/>
    </row>
    <row r="3" spans="1:7">
      <c r="A3" t="s">
        <v>85</v>
      </c>
      <c r="B3" t="str">
        <f t="shared" ref="B3:B66" si="0">CLEAN(TRIM(A3))</f>
        <v>Facility Manager</v>
      </c>
      <c r="C3" t="s">
        <v>86</v>
      </c>
      <c r="D3" t="str">
        <f t="shared" ref="D3:D66" si="1">CLEAN(TRIM(C3))</f>
        <v>Head of Operations</v>
      </c>
      <c r="E3" s="36"/>
      <c r="F3" s="36"/>
      <c r="G3" s="36"/>
    </row>
    <row r="4" spans="1:7">
      <c r="A4" t="s">
        <v>87</v>
      </c>
      <c r="B4" t="str">
        <f t="shared" si="0"/>
        <v>Capital Projects Manager </v>
      </c>
      <c r="C4" t="s">
        <v>88</v>
      </c>
      <c r="D4" t="str">
        <f t="shared" si="1"/>
        <v>VP Manufacturing</v>
      </c>
      <c r="E4" s="36"/>
      <c r="F4" s="36"/>
      <c r="G4" s="36"/>
    </row>
    <row r="5" spans="1:7">
      <c r="A5" t="s">
        <v>89</v>
      </c>
      <c r="B5" t="str">
        <f t="shared" si="0"/>
        <v>Executive of Global Engineering</v>
      </c>
      <c r="C5" t="s">
        <v>90</v>
      </c>
      <c r="D5" t="str">
        <f t="shared" si="1"/>
        <v>Digital Transformation Director</v>
      </c>
      <c r="E5" s="36"/>
      <c r="F5" s="36"/>
      <c r="G5" s="36"/>
    </row>
    <row r="6" spans="1:7">
      <c r="A6" t="s">
        <v>91</v>
      </c>
      <c r="B6" t="str">
        <f t="shared" si="0"/>
        <v>Lead of Global Engineering</v>
      </c>
      <c r="C6" t="s">
        <v>92</v>
      </c>
      <c r="D6" t="str">
        <f t="shared" si="1"/>
        <v>Director of Engineering</v>
      </c>
      <c r="E6" s="36"/>
      <c r="F6" s="36"/>
      <c r="G6" s="36"/>
    </row>
    <row r="7" spans="1:7">
      <c r="A7" t="s">
        <v>93</v>
      </c>
      <c r="B7" t="str">
        <f t="shared" si="0"/>
        <v>Manager of Global Engineering</v>
      </c>
      <c r="C7" t="s">
        <v>94</v>
      </c>
      <c r="D7" t="str">
        <f t="shared" si="1"/>
        <v>Head of Supply Chain Management</v>
      </c>
      <c r="E7" s="36"/>
      <c r="F7" s="36"/>
      <c r="G7" s="36"/>
    </row>
    <row r="8" spans="1:7">
      <c r="A8" t="s">
        <v>95</v>
      </c>
      <c r="B8" t="str">
        <f t="shared" si="0"/>
        <v>Director of Global Engineering</v>
      </c>
      <c r="C8" t="s">
        <v>96</v>
      </c>
      <c r="D8" t="str">
        <f t="shared" si="1"/>
        <v>VP of Supply Chain Management</v>
      </c>
    </row>
    <row r="9" spans="1:7">
      <c r="A9" t="s">
        <v>97</v>
      </c>
      <c r="B9" t="str">
        <f t="shared" si="0"/>
        <v>Head of Global Engineering</v>
      </c>
      <c r="C9" t="s">
        <v>98</v>
      </c>
      <c r="D9" t="str">
        <f t="shared" si="1"/>
        <v>Engineer</v>
      </c>
    </row>
    <row r="10" spans="1:7">
      <c r="A10" t="s">
        <v>99</v>
      </c>
      <c r="B10" t="str">
        <f t="shared" si="0"/>
        <v>VP of Global Engineering</v>
      </c>
      <c r="C10" t="s">
        <v>100</v>
      </c>
      <c r="D10" t="str">
        <f t="shared" si="1"/>
        <v>Business Transformation Manager</v>
      </c>
    </row>
    <row r="11" spans="1:7">
      <c r="A11" t="s">
        <v>101</v>
      </c>
      <c r="B11" t="str">
        <f t="shared" si="0"/>
        <v>Executive of Real Estate</v>
      </c>
      <c r="C11" t="s">
        <v>102</v>
      </c>
      <c r="D11" t="str">
        <f t="shared" si="1"/>
        <v>Transformation Consultant</v>
      </c>
    </row>
    <row r="12" spans="1:7">
      <c r="A12" t="s">
        <v>103</v>
      </c>
      <c r="B12" t="str">
        <f t="shared" si="0"/>
        <v>Lead of Real Estate</v>
      </c>
      <c r="C12" t="s">
        <v>104</v>
      </c>
      <c r="D12" t="str">
        <f t="shared" si="1"/>
        <v>Information Technology Consultant</v>
      </c>
    </row>
    <row r="13" spans="1:7">
      <c r="A13" t="s">
        <v>105</v>
      </c>
      <c r="B13" t="str">
        <f t="shared" si="0"/>
        <v>Manager of Real Estate</v>
      </c>
      <c r="C13" t="s">
        <v>106</v>
      </c>
      <c r="D13" t="str">
        <f t="shared" si="1"/>
        <v>Head of Engineering Department</v>
      </c>
    </row>
    <row r="14" spans="1:7">
      <c r="A14" t="s">
        <v>107</v>
      </c>
      <c r="B14" t="str">
        <f t="shared" si="0"/>
        <v>Director of Real Estate</v>
      </c>
      <c r="C14" t="s">
        <v>108</v>
      </c>
      <c r="D14" t="str">
        <f t="shared" si="1"/>
        <v>Innovation Lead</v>
      </c>
    </row>
    <row r="15" spans="1:7">
      <c r="A15" t="s">
        <v>109</v>
      </c>
      <c r="B15" t="str">
        <f t="shared" si="0"/>
        <v>Head of Real Estate</v>
      </c>
      <c r="C15" t="s">
        <v>110</v>
      </c>
      <c r="D15" t="str">
        <f t="shared" si="1"/>
        <v>Director of Production Operations</v>
      </c>
    </row>
    <row r="16" spans="1:7">
      <c r="A16" t="s">
        <v>111</v>
      </c>
      <c r="B16" t="str">
        <f t="shared" si="0"/>
        <v>VP of Real Estate</v>
      </c>
      <c r="C16" t="s">
        <v>112</v>
      </c>
      <c r="D16" t="str">
        <f t="shared" si="1"/>
        <v>Director of Manufacturing</v>
      </c>
    </row>
    <row r="17" spans="1:4">
      <c r="A17" t="s">
        <v>113</v>
      </c>
      <c r="B17" t="str">
        <f t="shared" si="0"/>
        <v>Executive of Construction</v>
      </c>
      <c r="C17" t="s">
        <v>114</v>
      </c>
      <c r="D17" t="str">
        <f t="shared" si="1"/>
        <v>Vice President Research And Development</v>
      </c>
    </row>
    <row r="18" spans="1:4">
      <c r="A18" t="s">
        <v>115</v>
      </c>
      <c r="B18" t="str">
        <f t="shared" si="0"/>
        <v>Lead of Construction</v>
      </c>
      <c r="C18" t="s">
        <v>116</v>
      </c>
      <c r="D18" t="str">
        <f t="shared" si="1"/>
        <v>Director Business Transformation</v>
      </c>
    </row>
    <row r="19" spans="1:4">
      <c r="A19" t="s">
        <v>117</v>
      </c>
      <c r="B19" t="str">
        <f t="shared" si="0"/>
        <v>Manager of Construction</v>
      </c>
      <c r="C19" t="s">
        <v>118</v>
      </c>
      <c r="D19" t="str">
        <f t="shared" si="1"/>
        <v>Lead Manufacturing Engineer</v>
      </c>
    </row>
    <row r="20" spans="1:4">
      <c r="A20" t="s">
        <v>119</v>
      </c>
      <c r="B20" t="str">
        <f t="shared" si="0"/>
        <v>Director of Construction</v>
      </c>
      <c r="C20" t="s">
        <v>120</v>
      </c>
      <c r="D20" t="str">
        <f t="shared" si="1"/>
        <v>Senior Engineering Manager</v>
      </c>
    </row>
    <row r="21" spans="1:4">
      <c r="A21" t="s">
        <v>121</v>
      </c>
      <c r="B21" t="str">
        <f t="shared" si="0"/>
        <v>Head of Construction</v>
      </c>
      <c r="C21" t="s">
        <v>122</v>
      </c>
      <c r="D21" t="str">
        <f t="shared" si="1"/>
        <v>Senior Director Manufacturing</v>
      </c>
    </row>
    <row r="22" spans="1:4">
      <c r="A22" t="s">
        <v>123</v>
      </c>
      <c r="B22" t="str">
        <f t="shared" si="0"/>
        <v>VP of Construction</v>
      </c>
      <c r="C22" t="s">
        <v>124</v>
      </c>
      <c r="D22" t="str">
        <f t="shared" si="1"/>
        <v>Operations Executive</v>
      </c>
    </row>
    <row r="23" spans="1:4">
      <c r="A23" t="s">
        <v>125</v>
      </c>
      <c r="B23" t="str">
        <f t="shared" si="0"/>
        <v>Executive of Operations</v>
      </c>
      <c r="C23" t="s">
        <v>126</v>
      </c>
      <c r="D23" t="str">
        <f t="shared" si="1"/>
        <v>Senior Engineering Project Manager</v>
      </c>
    </row>
    <row r="24" spans="1:4">
      <c r="A24" t="s">
        <v>127</v>
      </c>
      <c r="B24" t="str">
        <f t="shared" si="0"/>
        <v>Lead of Operations</v>
      </c>
      <c r="C24" t="s">
        <v>128</v>
      </c>
      <c r="D24" t="str">
        <f t="shared" si="1"/>
        <v>Innovation Engineer</v>
      </c>
    </row>
    <row r="25" spans="1:4">
      <c r="A25" t="s">
        <v>129</v>
      </c>
      <c r="B25" t="str">
        <f t="shared" si="0"/>
        <v>Manager of Operations</v>
      </c>
      <c r="C25" t="s">
        <v>130</v>
      </c>
      <c r="D25" t="str">
        <f t="shared" si="1"/>
        <v>Head of Research Department</v>
      </c>
    </row>
    <row r="26" spans="1:4">
      <c r="A26" t="s">
        <v>131</v>
      </c>
      <c r="B26" t="str">
        <f t="shared" si="0"/>
        <v>Director of Operations</v>
      </c>
      <c r="C26" t="s">
        <v>132</v>
      </c>
      <c r="D26" t="str">
        <f t="shared" si="1"/>
        <v>Chief Innovation Officer</v>
      </c>
    </row>
    <row r="27" spans="1:4">
      <c r="A27" t="s">
        <v>133</v>
      </c>
      <c r="B27" t="str">
        <f t="shared" si="0"/>
        <v>Head of Operations</v>
      </c>
      <c r="C27" t="s">
        <v>134</v>
      </c>
      <c r="D27" t="str">
        <f t="shared" si="1"/>
        <v>Innovation Project Manager</v>
      </c>
    </row>
    <row r="28" spans="1:4">
      <c r="A28" t="s">
        <v>135</v>
      </c>
      <c r="B28" t="str">
        <f t="shared" si="0"/>
        <v>VP of Operations</v>
      </c>
      <c r="C28" t="s">
        <v>136</v>
      </c>
      <c r="D28" t="str">
        <f t="shared" si="1"/>
        <v>Senior Manufacturing Engineer</v>
      </c>
    </row>
    <row r="29" spans="1:4">
      <c r="A29" t="s">
        <v>137</v>
      </c>
      <c r="B29" t="str">
        <f t="shared" si="0"/>
        <v>Executive of Estate</v>
      </c>
      <c r="C29" t="s">
        <v>138</v>
      </c>
      <c r="D29" t="str">
        <f t="shared" si="1"/>
        <v>Manufacturing Engineering Supervisor</v>
      </c>
    </row>
    <row r="30" spans="1:4">
      <c r="A30" t="s">
        <v>139</v>
      </c>
      <c r="B30" t="str">
        <f t="shared" si="0"/>
        <v>Lead of Estate</v>
      </c>
      <c r="C30" t="s">
        <v>140</v>
      </c>
      <c r="D30" t="str">
        <f t="shared" si="1"/>
        <v>Director Technology Innovation</v>
      </c>
    </row>
    <row r="31" spans="1:4">
      <c r="A31" t="s">
        <v>141</v>
      </c>
      <c r="B31" t="str">
        <f t="shared" si="0"/>
        <v>Manager of Estate</v>
      </c>
      <c r="C31" t="s">
        <v>142</v>
      </c>
      <c r="D31" t="str">
        <f t="shared" si="1"/>
        <v>Engineering Project Manager</v>
      </c>
    </row>
    <row r="32" spans="1:4">
      <c r="A32" t="s">
        <v>143</v>
      </c>
      <c r="B32" t="str">
        <f t="shared" si="0"/>
        <v>Director of Estate</v>
      </c>
      <c r="C32" t="s">
        <v>144</v>
      </c>
      <c r="D32" t="str">
        <f t="shared" si="1"/>
        <v>Executive Director Engineering</v>
      </c>
    </row>
    <row r="33" spans="1:4">
      <c r="A33" t="s">
        <v>145</v>
      </c>
      <c r="B33" t="str">
        <f t="shared" si="0"/>
        <v>Head of Estate</v>
      </c>
      <c r="C33" t="s">
        <v>146</v>
      </c>
      <c r="D33" t="str">
        <f t="shared" si="1"/>
        <v>Engineering Manager</v>
      </c>
    </row>
    <row r="34" spans="1:4">
      <c r="A34" t="s">
        <v>147</v>
      </c>
      <c r="B34" t="str">
        <f t="shared" si="0"/>
        <v>VP of Estate</v>
      </c>
      <c r="C34" t="s">
        <v>148</v>
      </c>
      <c r="D34" t="str">
        <f t="shared" si="1"/>
        <v>Executive Vice President Engineering</v>
      </c>
    </row>
    <row r="35" spans="1:4">
      <c r="A35" t="s">
        <v>149</v>
      </c>
      <c r="B35" t="str">
        <f t="shared" si="0"/>
        <v>Executive of Global Project Delivery</v>
      </c>
      <c r="C35" t="s">
        <v>150</v>
      </c>
      <c r="D35" t="str">
        <f t="shared" si="1"/>
        <v>Vice President Advanced Technology</v>
      </c>
    </row>
    <row r="36" spans="1:4">
      <c r="A36" t="s">
        <v>151</v>
      </c>
      <c r="B36" t="str">
        <f t="shared" si="0"/>
        <v>Lead of Global Project Delivery</v>
      </c>
      <c r="C36" t="s">
        <v>152</v>
      </c>
      <c r="D36" t="str">
        <f t="shared" si="1"/>
        <v>Innovation Manager</v>
      </c>
    </row>
    <row r="37" spans="1:4">
      <c r="A37" t="s">
        <v>153</v>
      </c>
      <c r="B37" t="str">
        <f t="shared" si="0"/>
        <v>Manager of Global Project Delivery</v>
      </c>
      <c r="C37" t="s">
        <v>154</v>
      </c>
      <c r="D37" t="str">
        <f t="shared" si="1"/>
        <v>Head of Engineering</v>
      </c>
    </row>
    <row r="38" spans="1:4">
      <c r="A38" t="s">
        <v>155</v>
      </c>
      <c r="B38" t="str">
        <f t="shared" si="0"/>
        <v>Director of Global Project Delivery</v>
      </c>
      <c r="C38" t="s">
        <v>156</v>
      </c>
      <c r="D38" t="str">
        <f t="shared" si="1"/>
        <v>Engineering Specialist</v>
      </c>
    </row>
    <row r="39" spans="1:4">
      <c r="A39" t="s">
        <v>157</v>
      </c>
      <c r="B39" t="str">
        <f t="shared" si="0"/>
        <v>Head of Global Project Delivery</v>
      </c>
      <c r="C39" t="s">
        <v>158</v>
      </c>
      <c r="D39" t="str">
        <f t="shared" si="1"/>
        <v>Senior Manager Manufacturing Engineering</v>
      </c>
    </row>
    <row r="40" spans="1:4">
      <c r="A40" t="s">
        <v>159</v>
      </c>
      <c r="B40" t="str">
        <f t="shared" si="0"/>
        <v>VP of Global Project Delivery</v>
      </c>
      <c r="C40" t="s">
        <v>160</v>
      </c>
      <c r="D40" t="str">
        <f t="shared" si="1"/>
        <v>Executive Software Engineering</v>
      </c>
    </row>
    <row r="41" spans="1:4">
      <c r="A41" t="s">
        <v>161</v>
      </c>
      <c r="B41" t="str">
        <f t="shared" si="0"/>
        <v>Executive of Store Planning</v>
      </c>
      <c r="C41" t="s">
        <v>162</v>
      </c>
      <c r="D41" t="str">
        <f t="shared" si="1"/>
        <v>Director of Innovation</v>
      </c>
    </row>
    <row r="42" spans="1:4">
      <c r="A42" t="s">
        <v>163</v>
      </c>
      <c r="B42" t="str">
        <f t="shared" si="0"/>
        <v>Lead of Store Planning</v>
      </c>
      <c r="C42" t="s">
        <v>164</v>
      </c>
      <c r="D42" t="str">
        <f t="shared" si="1"/>
        <v>Senior Manufacturing Process Engineer</v>
      </c>
    </row>
    <row r="43" spans="1:4">
      <c r="A43" t="s">
        <v>165</v>
      </c>
      <c r="B43" t="str">
        <f t="shared" si="0"/>
        <v>Manager of Store Planning</v>
      </c>
      <c r="C43" t="s">
        <v>166</v>
      </c>
      <c r="D43" t="str">
        <f t="shared" si="1"/>
        <v>Vice President of Manufacturing</v>
      </c>
    </row>
    <row r="44" spans="1:4">
      <c r="A44" t="s">
        <v>167</v>
      </c>
      <c r="B44" t="str">
        <f t="shared" si="0"/>
        <v>Director of Store Planning</v>
      </c>
      <c r="C44" t="s">
        <v>168</v>
      </c>
      <c r="D44" t="str">
        <f t="shared" si="1"/>
        <v>Manufacturing Engineering Manager</v>
      </c>
    </row>
    <row r="45" spans="1:4">
      <c r="A45" t="s">
        <v>169</v>
      </c>
      <c r="B45" t="str">
        <f t="shared" si="0"/>
        <v>Head of Store Planning</v>
      </c>
      <c r="C45" t="s">
        <v>170</v>
      </c>
      <c r="D45" t="str">
        <f t="shared" si="1"/>
        <v>Digital Transformation Officer</v>
      </c>
    </row>
    <row r="46" spans="1:4">
      <c r="A46" t="s">
        <v>171</v>
      </c>
      <c r="B46" t="str">
        <f t="shared" si="0"/>
        <v>VP of Store Planning</v>
      </c>
      <c r="C46" t="s">
        <v>172</v>
      </c>
      <c r="D46" t="str">
        <f t="shared" si="1"/>
        <v>Head of Transformation</v>
      </c>
    </row>
    <row r="47" spans="1:4">
      <c r="A47" t="s">
        <v>173</v>
      </c>
      <c r="B47" t="str">
        <f t="shared" si="0"/>
        <v>Executive of Facilities</v>
      </c>
      <c r="C47" t="s">
        <v>174</v>
      </c>
      <c r="D47" t="str">
        <f t="shared" si="1"/>
        <v>Vice President of Digital Transformation</v>
      </c>
    </row>
    <row r="48" spans="1:4">
      <c r="A48" t="s">
        <v>175</v>
      </c>
      <c r="B48" t="str">
        <f t="shared" si="0"/>
        <v>Lead of Facilities</v>
      </c>
      <c r="C48" t="s">
        <v>176</v>
      </c>
      <c r="D48" t="str">
        <f t="shared" si="1"/>
        <v>Senior Research And Development Engineer</v>
      </c>
    </row>
    <row r="49" spans="1:4">
      <c r="A49" t="s">
        <v>177</v>
      </c>
      <c r="B49" t="str">
        <f t="shared" si="0"/>
        <v>Manager of Facilities</v>
      </c>
      <c r="C49" t="s">
        <v>178</v>
      </c>
      <c r="D49" t="str">
        <f t="shared" si="1"/>
        <v>Manufacturing Engineer</v>
      </c>
    </row>
    <row r="50" spans="1:4">
      <c r="A50" t="s">
        <v>179</v>
      </c>
      <c r="B50" t="str">
        <f t="shared" si="0"/>
        <v>Director of Facilities</v>
      </c>
      <c r="C50" t="s">
        <v>180</v>
      </c>
      <c r="D50" t="str">
        <f t="shared" si="1"/>
        <v>Product Engineering Manager</v>
      </c>
    </row>
    <row r="51" spans="1:4">
      <c r="A51" t="s">
        <v>181</v>
      </c>
      <c r="B51" t="str">
        <f t="shared" si="0"/>
        <v>Head of Facilities</v>
      </c>
      <c r="C51" t="s">
        <v>92</v>
      </c>
      <c r="D51" t="str">
        <f t="shared" si="1"/>
        <v>Director of Engineering</v>
      </c>
    </row>
    <row r="52" spans="1:4">
      <c r="A52" t="s">
        <v>182</v>
      </c>
      <c r="B52" t="str">
        <f t="shared" si="0"/>
        <v>VP of Facilities</v>
      </c>
      <c r="C52" t="s">
        <v>183</v>
      </c>
      <c r="D52" t="str">
        <f t="shared" si="1"/>
        <v>Research And Development Specialist</v>
      </c>
    </row>
    <row r="53" spans="1:4">
      <c r="A53" t="s">
        <v>184</v>
      </c>
      <c r="B53" t="str">
        <f t="shared" si="0"/>
        <v>Executive of Facilities Design</v>
      </c>
      <c r="C53" t="s">
        <v>185</v>
      </c>
      <c r="D53" t="str">
        <f t="shared" si="1"/>
        <v>Information Technology Analyst</v>
      </c>
    </row>
    <row r="54" spans="1:4">
      <c r="A54" t="s">
        <v>186</v>
      </c>
      <c r="B54" t="str">
        <f t="shared" si="0"/>
        <v>Lead of Facilities Design</v>
      </c>
      <c r="C54" t="s">
        <v>187</v>
      </c>
      <c r="D54" t="str">
        <f t="shared" si="1"/>
        <v>Senior Director of Engineering</v>
      </c>
    </row>
    <row r="55" spans="1:4">
      <c r="A55" t="s">
        <v>188</v>
      </c>
      <c r="B55" t="str">
        <f t="shared" si="0"/>
        <v>Manager of Facilities Design</v>
      </c>
      <c r="C55" t="s">
        <v>189</v>
      </c>
      <c r="D55" t="str">
        <f t="shared" si="1"/>
        <v>Research And Development Engineer</v>
      </c>
    </row>
    <row r="56" spans="1:4">
      <c r="A56" t="s">
        <v>190</v>
      </c>
      <c r="B56" t="str">
        <f t="shared" si="0"/>
        <v>Director of Facilities Design</v>
      </c>
      <c r="C56" t="s">
        <v>191</v>
      </c>
      <c r="D56" t="str">
        <f t="shared" si="1"/>
        <v>Lead Engineer</v>
      </c>
    </row>
    <row r="57" spans="1:4">
      <c r="A57" t="s">
        <v>192</v>
      </c>
      <c r="B57" t="str">
        <f t="shared" si="0"/>
        <v>Head of Facilities Design</v>
      </c>
      <c r="C57" t="s">
        <v>193</v>
      </c>
      <c r="D57" t="str">
        <f t="shared" si="1"/>
        <v>Research Manager</v>
      </c>
    </row>
    <row r="58" spans="1:4">
      <c r="A58" t="s">
        <v>194</v>
      </c>
      <c r="B58" t="str">
        <f t="shared" si="0"/>
        <v>VP of Facilities Design</v>
      </c>
      <c r="C58" t="s">
        <v>195</v>
      </c>
      <c r="D58" t="str">
        <f t="shared" si="1"/>
        <v>Research And Development Manager</v>
      </c>
    </row>
    <row r="59" spans="1:4">
      <c r="A59" t="s">
        <v>196</v>
      </c>
      <c r="B59" t="str">
        <f t="shared" si="0"/>
        <v>Executive of Services</v>
      </c>
      <c r="C59" t="s">
        <v>197</v>
      </c>
      <c r="D59" t="str">
        <f t="shared" si="1"/>
        <v>Vice President of Engineering</v>
      </c>
    </row>
    <row r="60" spans="1:4">
      <c r="A60" t="s">
        <v>198</v>
      </c>
      <c r="B60" t="str">
        <f t="shared" si="0"/>
        <v>Lead of Services</v>
      </c>
      <c r="C60" t="s">
        <v>199</v>
      </c>
      <c r="D60" t="str">
        <f t="shared" si="1"/>
        <v>Vice President Innovation</v>
      </c>
    </row>
    <row r="61" spans="1:4">
      <c r="A61" t="s">
        <v>200</v>
      </c>
      <c r="B61" t="str">
        <f t="shared" si="0"/>
        <v>Manager of Services</v>
      </c>
      <c r="C61" t="s">
        <v>201</v>
      </c>
      <c r="D61" t="str">
        <f t="shared" si="1"/>
        <v>Innovation Consultant</v>
      </c>
    </row>
    <row r="62" spans="1:4">
      <c r="A62" t="s">
        <v>202</v>
      </c>
      <c r="B62" t="str">
        <f t="shared" si="0"/>
        <v>Director of Services</v>
      </c>
      <c r="C62" t="s">
        <v>203</v>
      </c>
      <c r="D62" t="str">
        <f t="shared" si="1"/>
        <v>Information Technology Manager</v>
      </c>
    </row>
    <row r="63" spans="1:4">
      <c r="A63" t="s">
        <v>204</v>
      </c>
      <c r="B63" t="str">
        <f t="shared" si="0"/>
        <v>Head of Services</v>
      </c>
      <c r="C63" t="s">
        <v>205</v>
      </c>
      <c r="D63" t="str">
        <f t="shared" si="1"/>
        <v>Head of Innovation</v>
      </c>
    </row>
    <row r="64" spans="1:4">
      <c r="A64" t="s">
        <v>206</v>
      </c>
      <c r="B64" t="str">
        <f t="shared" si="0"/>
        <v>VP of Services</v>
      </c>
      <c r="C64" t="s">
        <v>207</v>
      </c>
      <c r="D64" t="str">
        <f t="shared" si="1"/>
        <v>Director of Research Development</v>
      </c>
    </row>
    <row r="65" spans="1:4">
      <c r="A65" t="s">
        <v>208</v>
      </c>
      <c r="B65" t="str">
        <f t="shared" si="0"/>
        <v>Executive of Management</v>
      </c>
      <c r="C65" t="s">
        <v>209</v>
      </c>
      <c r="D65" t="str">
        <f t="shared" si="1"/>
        <v>Manufacturing Manager</v>
      </c>
    </row>
    <row r="66" spans="1:4">
      <c r="A66" t="s">
        <v>210</v>
      </c>
      <c r="B66" t="str">
        <f t="shared" si="0"/>
        <v>Lead of Management</v>
      </c>
      <c r="C66" t="s">
        <v>211</v>
      </c>
      <c r="D66" t="str">
        <f t="shared" si="1"/>
        <v>Head of Information Technology</v>
      </c>
    </row>
    <row r="67" spans="1:4">
      <c r="A67" t="s">
        <v>212</v>
      </c>
      <c r="B67" t="str">
        <f t="shared" ref="B67:B93" si="2">CLEAN(TRIM(A67))</f>
        <v>Manager of Management</v>
      </c>
      <c r="C67" t="s">
        <v>213</v>
      </c>
      <c r="D67" t="str">
        <f t="shared" ref="D67:D71" si="3">CLEAN(TRIM(C67))</f>
        <v>Director of Product Engineering</v>
      </c>
    </row>
    <row r="68" spans="1:4">
      <c r="A68" t="s">
        <v>214</v>
      </c>
      <c r="B68" t="str">
        <f t="shared" si="2"/>
        <v>Director of Management</v>
      </c>
      <c r="C68" t="s">
        <v>215</v>
      </c>
      <c r="D68" t="str">
        <f t="shared" si="3"/>
        <v>Director of Product Development</v>
      </c>
    </row>
    <row r="69" spans="1:4">
      <c r="A69" t="s">
        <v>216</v>
      </c>
      <c r="B69" t="str">
        <f t="shared" si="2"/>
        <v>Head of Management</v>
      </c>
      <c r="C69" t="s">
        <v>217</v>
      </c>
      <c r="D69" t="str">
        <f t="shared" si="3"/>
        <v>Director Advanced Technology</v>
      </c>
    </row>
    <row r="70" spans="1:4">
      <c r="A70" t="s">
        <v>218</v>
      </c>
      <c r="B70" t="str">
        <f t="shared" si="2"/>
        <v>VP of Management</v>
      </c>
      <c r="C70" t="s">
        <v>219</v>
      </c>
      <c r="D70" t="str">
        <f t="shared" si="3"/>
        <v>Director of Manufacturing Operations</v>
      </c>
    </row>
    <row r="71" spans="1:4">
      <c r="A71" t="s">
        <v>220</v>
      </c>
      <c r="B71" t="str">
        <f t="shared" si="2"/>
        <v>Structural Engineers</v>
      </c>
      <c r="C71" t="s">
        <v>221</v>
      </c>
      <c r="D71" t="str">
        <f t="shared" si="3"/>
        <v>Advanced Technology Manager</v>
      </c>
    </row>
    <row r="72" spans="1:4">
      <c r="A72" t="s">
        <v>222</v>
      </c>
      <c r="B72" t="str">
        <f t="shared" si="2"/>
        <v>Project Manager</v>
      </c>
    </row>
    <row r="73" spans="1:4">
      <c r="A73" t="s">
        <v>223</v>
      </c>
      <c r="B73" t="str">
        <f t="shared" si="2"/>
        <v>Engineer Manager</v>
      </c>
    </row>
    <row r="74" spans="1:4">
      <c r="A74" t="s">
        <v>224</v>
      </c>
      <c r="B74" t="str">
        <f t="shared" si="2"/>
        <v>Plant Director</v>
      </c>
    </row>
    <row r="75" spans="1:4">
      <c r="A75" t="s">
        <v>225</v>
      </c>
      <c r="B75" t="str">
        <f t="shared" si="2"/>
        <v>Project Manager</v>
      </c>
    </row>
    <row r="76" spans="1:4">
      <c r="A76" t="s">
        <v>226</v>
      </c>
      <c r="B76" t="str">
        <f t="shared" si="2"/>
        <v>Finance Manager/ Coordinator</v>
      </c>
    </row>
    <row r="77" spans="1:4">
      <c r="A77" t="s">
        <v>227</v>
      </c>
      <c r="B77" t="str">
        <f t="shared" si="2"/>
        <v>Portofolio Manager</v>
      </c>
    </row>
    <row r="78" spans="1:4">
      <c r="A78" t="s">
        <v>228</v>
      </c>
      <c r="B78" t="str">
        <f t="shared" si="2"/>
        <v>Facilities Manager</v>
      </c>
    </row>
    <row r="79" spans="1:4">
      <c r="A79" t="s">
        <v>229</v>
      </c>
      <c r="B79" t="str">
        <f t="shared" si="2"/>
        <v>Real Estate Manager</v>
      </c>
    </row>
    <row r="80" spans="1:4">
      <c r="A80" t="s">
        <v>230</v>
      </c>
      <c r="B80" t="str">
        <f t="shared" si="2"/>
        <v>Fixed Asset Manager</v>
      </c>
    </row>
    <row r="81" spans="1:2">
      <c r="A81" t="s">
        <v>231</v>
      </c>
      <c r="B81" t="str">
        <f t="shared" si="2"/>
        <v>MEP Engineer</v>
      </c>
    </row>
    <row r="82" spans="1:2">
      <c r="A82" t="s">
        <v>232</v>
      </c>
      <c r="B82" t="str">
        <f t="shared" si="2"/>
        <v>Head of Operations</v>
      </c>
    </row>
    <row r="83" spans="1:2">
      <c r="A83" t="s">
        <v>233</v>
      </c>
      <c r="B83" t="str">
        <f t="shared" si="2"/>
        <v>VP Manufacturing</v>
      </c>
    </row>
    <row r="84" spans="1:2">
      <c r="A84" t="s">
        <v>234</v>
      </c>
      <c r="B84" t="str">
        <f t="shared" si="2"/>
        <v>Factory Owner</v>
      </c>
    </row>
    <row r="85" spans="1:2">
      <c r="A85" t="s">
        <v>235</v>
      </c>
      <c r="B85" t="str">
        <f t="shared" si="2"/>
        <v>Plant Manager</v>
      </c>
    </row>
    <row r="86" spans="1:2">
      <c r="A86" t="s">
        <v>236</v>
      </c>
      <c r="B86" t="str">
        <f t="shared" si="2"/>
        <v>Director of Manufacturing</v>
      </c>
    </row>
    <row r="87" spans="1:2">
      <c r="A87" t="s">
        <v>237</v>
      </c>
      <c r="B87" t="str">
        <f t="shared" si="2"/>
        <v>Director of Operations/ Production</v>
      </c>
    </row>
    <row r="88" spans="1:2">
      <c r="A88" t="s">
        <v>238</v>
      </c>
      <c r="B88" t="str">
        <f t="shared" si="2"/>
        <v>Supply chain manager</v>
      </c>
    </row>
    <row r="89" spans="1:2">
      <c r="A89" t="s">
        <v>239</v>
      </c>
      <c r="B89" t="str">
        <f t="shared" si="2"/>
        <v>Manufacturing Engineer</v>
      </c>
    </row>
    <row r="90" spans="1:2">
      <c r="A90" t="s">
        <v>240</v>
      </c>
      <c r="B90" t="str">
        <f t="shared" si="2"/>
        <v>Quality Control Engineer</v>
      </c>
    </row>
    <row r="91" spans="1:2">
      <c r="A91" t="s">
        <v>241</v>
      </c>
      <c r="B91" t="str">
        <f t="shared" si="2"/>
        <v>Production Planner</v>
      </c>
    </row>
    <row r="92" spans="1:2">
      <c r="A92" t="s">
        <v>242</v>
      </c>
      <c r="B92" t="str">
        <f t="shared" si="2"/>
        <v>Purchasing Department</v>
      </c>
    </row>
    <row r="93" spans="1:2">
      <c r="A93" t="s">
        <v>243</v>
      </c>
      <c r="B93" t="str">
        <f t="shared" si="2"/>
        <v>Manufacturing Engineer Manager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B7CC-00BB-4F33-922C-39671D7C37E8}">
  <dimension ref="A1:H63"/>
  <sheetViews>
    <sheetView topLeftCell="D48" workbookViewId="0">
      <selection activeCell="A2" sqref="A2:H60"/>
    </sheetView>
  </sheetViews>
  <sheetFormatPr defaultRowHeight="14.5"/>
  <cols>
    <col min="1" max="1" width="12" customWidth="1"/>
    <col min="2" max="2" width="29.453125" bestFit="1" customWidth="1"/>
    <col min="3" max="3" width="23.1796875" bestFit="1" customWidth="1"/>
    <col min="4" max="4" width="32.453125" bestFit="1" customWidth="1"/>
    <col min="5" max="5" width="33" bestFit="1" customWidth="1"/>
    <col min="6" max="6" width="36.1796875" bestFit="1" customWidth="1"/>
    <col min="7" max="7" width="29.81640625" bestFit="1" customWidth="1"/>
    <col min="8" max="8" width="34.7265625" bestFit="1" customWidth="1"/>
  </cols>
  <sheetData>
    <row r="1" spans="1:8">
      <c r="A1" s="69" t="s">
        <v>244</v>
      </c>
    </row>
    <row r="2" spans="1:8">
      <c r="A2" s="82" t="s">
        <v>245</v>
      </c>
      <c r="B2" s="83" t="s">
        <v>246</v>
      </c>
      <c r="C2" s="83" t="s">
        <v>247</v>
      </c>
      <c r="D2" s="83" t="s">
        <v>248</v>
      </c>
      <c r="E2" s="83" t="s">
        <v>249</v>
      </c>
      <c r="F2" s="83" t="s">
        <v>250</v>
      </c>
      <c r="G2" s="84" t="s">
        <v>251</v>
      </c>
      <c r="H2" s="84" t="s">
        <v>252</v>
      </c>
    </row>
    <row r="3" spans="1:8">
      <c r="A3" s="85">
        <v>5070251123</v>
      </c>
      <c r="B3" s="86" t="s">
        <v>253</v>
      </c>
      <c r="C3" s="86" t="s">
        <v>254</v>
      </c>
      <c r="D3" s="86" t="s">
        <v>255</v>
      </c>
      <c r="E3" s="86" t="s">
        <v>256</v>
      </c>
      <c r="F3" s="86" t="s">
        <v>257</v>
      </c>
      <c r="G3" s="87" t="s">
        <v>258</v>
      </c>
      <c r="H3" s="87" t="s">
        <v>259</v>
      </c>
    </row>
    <row r="4" spans="1:8">
      <c r="A4" s="88">
        <v>5070230010</v>
      </c>
      <c r="B4" s="89" t="s">
        <v>260</v>
      </c>
      <c r="C4" s="89" t="s">
        <v>254</v>
      </c>
      <c r="D4" s="89" t="s">
        <v>261</v>
      </c>
      <c r="E4" s="89" t="s">
        <v>256</v>
      </c>
      <c r="F4" s="89" t="s">
        <v>257</v>
      </c>
      <c r="G4" s="90" t="s">
        <v>262</v>
      </c>
      <c r="H4" s="90" t="s">
        <v>263</v>
      </c>
    </row>
    <row r="5" spans="1:8">
      <c r="A5" s="85">
        <v>5070218089</v>
      </c>
      <c r="B5" s="86" t="s">
        <v>264</v>
      </c>
      <c r="C5" s="86" t="s">
        <v>254</v>
      </c>
      <c r="D5" s="86" t="s">
        <v>265</v>
      </c>
      <c r="E5" s="86" t="s">
        <v>256</v>
      </c>
      <c r="F5" s="86" t="s">
        <v>257</v>
      </c>
      <c r="G5" s="87" t="s">
        <v>262</v>
      </c>
      <c r="H5" s="87" t="s">
        <v>266</v>
      </c>
    </row>
    <row r="6" spans="1:8">
      <c r="A6" s="88">
        <v>5104159077</v>
      </c>
      <c r="B6" s="89" t="s">
        <v>267</v>
      </c>
      <c r="C6" s="89" t="s">
        <v>254</v>
      </c>
      <c r="D6" s="89" t="s">
        <v>268</v>
      </c>
      <c r="E6" s="89" t="s">
        <v>256</v>
      </c>
      <c r="F6" s="89" t="s">
        <v>257</v>
      </c>
      <c r="G6" s="90" t="s">
        <v>269</v>
      </c>
      <c r="H6" s="90" t="s">
        <v>270</v>
      </c>
    </row>
    <row r="7" spans="1:8">
      <c r="A7" s="85">
        <v>5070244193</v>
      </c>
      <c r="B7" s="86" t="s">
        <v>271</v>
      </c>
      <c r="C7" s="86" t="s">
        <v>254</v>
      </c>
      <c r="D7" s="86" t="s">
        <v>268</v>
      </c>
      <c r="E7" s="86" t="s">
        <v>256</v>
      </c>
      <c r="F7" s="86" t="s">
        <v>257</v>
      </c>
      <c r="G7" s="87" t="s">
        <v>269</v>
      </c>
      <c r="H7" s="87" t="s">
        <v>272</v>
      </c>
    </row>
    <row r="8" spans="1:8">
      <c r="A8" s="88">
        <v>5070267198</v>
      </c>
      <c r="B8" s="89" t="s">
        <v>273</v>
      </c>
      <c r="C8" s="89" t="s">
        <v>254</v>
      </c>
      <c r="D8" s="89" t="s">
        <v>274</v>
      </c>
      <c r="E8" s="89" t="s">
        <v>256</v>
      </c>
      <c r="F8" s="89" t="s">
        <v>257</v>
      </c>
      <c r="G8" s="90" t="s">
        <v>258</v>
      </c>
      <c r="H8" s="90" t="s">
        <v>275</v>
      </c>
    </row>
    <row r="9" spans="1:8">
      <c r="A9" s="85">
        <v>5070120018</v>
      </c>
      <c r="B9" s="86" t="s">
        <v>276</v>
      </c>
      <c r="C9" s="86" t="s">
        <v>254</v>
      </c>
      <c r="D9" s="86" t="s">
        <v>274</v>
      </c>
      <c r="E9" s="86" t="s">
        <v>256</v>
      </c>
      <c r="F9" s="86" t="s">
        <v>257</v>
      </c>
      <c r="G9" s="87" t="s">
        <v>258</v>
      </c>
      <c r="H9" s="87" t="s">
        <v>277</v>
      </c>
    </row>
    <row r="10" spans="1:8">
      <c r="A10" s="88">
        <v>5070299003</v>
      </c>
      <c r="B10" s="89" t="s">
        <v>278</v>
      </c>
      <c r="C10" s="89" t="s">
        <v>254</v>
      </c>
      <c r="D10" s="89" t="s">
        <v>255</v>
      </c>
      <c r="E10" s="89" t="s">
        <v>256</v>
      </c>
      <c r="F10" s="89" t="s">
        <v>257</v>
      </c>
      <c r="G10" s="90" t="s">
        <v>262</v>
      </c>
      <c r="H10" s="90" t="s">
        <v>279</v>
      </c>
    </row>
    <row r="11" spans="1:8">
      <c r="A11" s="85">
        <v>5115815293</v>
      </c>
      <c r="B11" s="86" t="s">
        <v>280</v>
      </c>
      <c r="C11" s="86" t="s">
        <v>254</v>
      </c>
      <c r="D11" s="86" t="s">
        <v>281</v>
      </c>
      <c r="E11" s="86" t="s">
        <v>256</v>
      </c>
      <c r="F11" s="86" t="s">
        <v>257</v>
      </c>
      <c r="G11" s="87" t="s">
        <v>262</v>
      </c>
      <c r="H11" s="87" t="s">
        <v>282</v>
      </c>
    </row>
    <row r="12" spans="1:8">
      <c r="A12" s="88">
        <v>5124629941</v>
      </c>
      <c r="B12" s="89" t="s">
        <v>283</v>
      </c>
      <c r="C12" s="89" t="s">
        <v>254</v>
      </c>
      <c r="D12" s="89" t="s">
        <v>274</v>
      </c>
      <c r="E12" s="89" t="s">
        <v>256</v>
      </c>
      <c r="F12" s="89" t="s">
        <v>257</v>
      </c>
      <c r="G12" s="90" t="s">
        <v>258</v>
      </c>
      <c r="H12" s="90" t="s">
        <v>284</v>
      </c>
    </row>
    <row r="13" spans="1:8">
      <c r="A13" s="85">
        <v>5103139761</v>
      </c>
      <c r="B13" s="86" t="s">
        <v>285</v>
      </c>
      <c r="C13" s="86" t="s">
        <v>254</v>
      </c>
      <c r="D13" s="86" t="s">
        <v>286</v>
      </c>
      <c r="E13" s="86" t="s">
        <v>256</v>
      </c>
      <c r="F13" s="86" t="s">
        <v>257</v>
      </c>
      <c r="G13" s="87" t="s">
        <v>287</v>
      </c>
      <c r="H13" s="87" t="s">
        <v>288</v>
      </c>
    </row>
    <row r="14" spans="1:8">
      <c r="A14" s="88">
        <v>5101703396</v>
      </c>
      <c r="B14" s="89" t="s">
        <v>289</v>
      </c>
      <c r="C14" s="89" t="s">
        <v>254</v>
      </c>
      <c r="D14" s="89" t="s">
        <v>290</v>
      </c>
      <c r="E14" s="89" t="s">
        <v>256</v>
      </c>
      <c r="F14" s="89" t="s">
        <v>257</v>
      </c>
      <c r="G14" s="90" t="s">
        <v>262</v>
      </c>
      <c r="H14" s="90" t="s">
        <v>291</v>
      </c>
    </row>
    <row r="15" spans="1:8">
      <c r="A15" s="85">
        <v>5500590146</v>
      </c>
      <c r="B15" s="86" t="s">
        <v>292</v>
      </c>
      <c r="C15" s="86" t="s">
        <v>254</v>
      </c>
      <c r="D15" s="86" t="s">
        <v>286</v>
      </c>
      <c r="E15" s="86" t="s">
        <v>256</v>
      </c>
      <c r="F15" s="86" t="s">
        <v>257</v>
      </c>
      <c r="G15" s="87" t="s">
        <v>293</v>
      </c>
      <c r="H15" s="87" t="s">
        <v>294</v>
      </c>
    </row>
    <row r="16" spans="1:8">
      <c r="A16" s="88">
        <v>5109630612</v>
      </c>
      <c r="B16" s="89" t="s">
        <v>295</v>
      </c>
      <c r="C16" s="89" t="s">
        <v>254</v>
      </c>
      <c r="D16" s="89" t="s">
        <v>274</v>
      </c>
      <c r="E16" s="89" t="s">
        <v>256</v>
      </c>
      <c r="F16" s="89" t="s">
        <v>257</v>
      </c>
      <c r="G16" s="90" t="s">
        <v>287</v>
      </c>
      <c r="H16" s="90" t="e">
        <v>#N/A</v>
      </c>
    </row>
    <row r="17" spans="1:8">
      <c r="A17" s="85">
        <v>5070233997</v>
      </c>
      <c r="B17" s="86" t="s">
        <v>296</v>
      </c>
      <c r="C17" s="86" t="s">
        <v>254</v>
      </c>
      <c r="D17" s="86" t="s">
        <v>274</v>
      </c>
      <c r="E17" s="86" t="s">
        <v>256</v>
      </c>
      <c r="F17" s="86" t="s">
        <v>257</v>
      </c>
      <c r="G17" s="87" t="s">
        <v>262</v>
      </c>
      <c r="H17" s="87" t="s">
        <v>297</v>
      </c>
    </row>
    <row r="18" spans="1:8">
      <c r="A18" s="88">
        <v>5107789428</v>
      </c>
      <c r="B18" s="89" t="s">
        <v>298</v>
      </c>
      <c r="C18" s="89" t="s">
        <v>254</v>
      </c>
      <c r="D18" s="89" t="s">
        <v>268</v>
      </c>
      <c r="E18" s="89" t="s">
        <v>256</v>
      </c>
      <c r="F18" s="89" t="s">
        <v>257</v>
      </c>
      <c r="G18" s="90" t="s">
        <v>269</v>
      </c>
      <c r="H18" s="90" t="s">
        <v>299</v>
      </c>
    </row>
    <row r="19" spans="1:8">
      <c r="A19" s="85">
        <v>5133718533</v>
      </c>
      <c r="B19" s="86" t="s">
        <v>300</v>
      </c>
      <c r="C19" s="86" t="s">
        <v>254</v>
      </c>
      <c r="D19" s="86" t="s">
        <v>301</v>
      </c>
      <c r="E19" s="86" t="s">
        <v>256</v>
      </c>
      <c r="F19" s="86" t="s">
        <v>257</v>
      </c>
      <c r="G19" s="87" t="s">
        <v>287</v>
      </c>
      <c r="H19" s="87" t="s">
        <v>302</v>
      </c>
    </row>
    <row r="20" spans="1:8">
      <c r="A20" s="88">
        <v>5150580303</v>
      </c>
      <c r="B20" s="89" t="s">
        <v>303</v>
      </c>
      <c r="C20" s="89" t="s">
        <v>254</v>
      </c>
      <c r="D20" s="89" t="s">
        <v>255</v>
      </c>
      <c r="E20" s="89" t="s">
        <v>256</v>
      </c>
      <c r="F20" s="89" t="s">
        <v>257</v>
      </c>
      <c r="G20" s="90" t="s">
        <v>262</v>
      </c>
      <c r="H20" s="90" t="s">
        <v>304</v>
      </c>
    </row>
    <row r="21" spans="1:8">
      <c r="A21" s="85">
        <v>5105229494</v>
      </c>
      <c r="B21" s="86" t="s">
        <v>305</v>
      </c>
      <c r="C21" s="86" t="s">
        <v>254</v>
      </c>
      <c r="D21" s="86" t="s">
        <v>306</v>
      </c>
      <c r="E21" s="86" t="s">
        <v>256</v>
      </c>
      <c r="F21" s="86" t="s">
        <v>257</v>
      </c>
      <c r="G21" s="87" t="s">
        <v>262</v>
      </c>
      <c r="H21" s="87" t="s">
        <v>307</v>
      </c>
    </row>
    <row r="22" spans="1:8">
      <c r="A22" s="88">
        <v>5115468625</v>
      </c>
      <c r="B22" s="89" t="s">
        <v>308</v>
      </c>
      <c r="C22" s="89" t="s">
        <v>254</v>
      </c>
      <c r="D22" s="89" t="s">
        <v>261</v>
      </c>
      <c r="E22" s="89" t="s">
        <v>256</v>
      </c>
      <c r="F22" s="89" t="s">
        <v>257</v>
      </c>
      <c r="G22" s="90" t="s">
        <v>258</v>
      </c>
      <c r="H22" s="90" t="s">
        <v>309</v>
      </c>
    </row>
    <row r="23" spans="1:8">
      <c r="A23" s="85">
        <v>5109521243</v>
      </c>
      <c r="B23" s="86" t="s">
        <v>310</v>
      </c>
      <c r="C23" s="86" t="s">
        <v>254</v>
      </c>
      <c r="D23" s="86" t="s">
        <v>268</v>
      </c>
      <c r="E23" s="86" t="s">
        <v>256</v>
      </c>
      <c r="F23" s="86" t="s">
        <v>257</v>
      </c>
      <c r="G23" s="87" t="s">
        <v>293</v>
      </c>
      <c r="H23" s="87" t="s">
        <v>311</v>
      </c>
    </row>
    <row r="24" spans="1:8">
      <c r="A24" s="88">
        <v>5109523983</v>
      </c>
      <c r="B24" s="89" t="s">
        <v>312</v>
      </c>
      <c r="C24" s="89" t="s">
        <v>254</v>
      </c>
      <c r="D24" s="89" t="s">
        <v>274</v>
      </c>
      <c r="E24" s="89" t="s">
        <v>256</v>
      </c>
      <c r="F24" s="89" t="s">
        <v>257</v>
      </c>
      <c r="G24" s="90" t="s">
        <v>262</v>
      </c>
      <c r="H24" s="90" t="s">
        <v>313</v>
      </c>
    </row>
    <row r="25" spans="1:8">
      <c r="A25" s="85">
        <v>5109521459</v>
      </c>
      <c r="B25" s="86" t="s">
        <v>314</v>
      </c>
      <c r="C25" s="86" t="s">
        <v>254</v>
      </c>
      <c r="D25" s="86" t="s">
        <v>274</v>
      </c>
      <c r="E25" s="86" t="s">
        <v>256</v>
      </c>
      <c r="F25" s="86" t="s">
        <v>257</v>
      </c>
      <c r="G25" s="87" t="s">
        <v>262</v>
      </c>
      <c r="H25" s="87" t="s">
        <v>315</v>
      </c>
    </row>
    <row r="26" spans="1:8">
      <c r="A26" s="88">
        <v>5109370111</v>
      </c>
      <c r="B26" s="89" t="s">
        <v>316</v>
      </c>
      <c r="C26" s="89" t="s">
        <v>254</v>
      </c>
      <c r="D26" s="89" t="s">
        <v>274</v>
      </c>
      <c r="E26" s="89" t="s">
        <v>256</v>
      </c>
      <c r="F26" s="89" t="s">
        <v>257</v>
      </c>
      <c r="G26" s="90" t="s">
        <v>293</v>
      </c>
      <c r="H26" s="90" t="s">
        <v>317</v>
      </c>
    </row>
    <row r="27" spans="1:8">
      <c r="A27" s="85">
        <v>5070277989</v>
      </c>
      <c r="B27" s="86" t="s">
        <v>318</v>
      </c>
      <c r="C27" s="86" t="s">
        <v>254</v>
      </c>
      <c r="D27" s="86" t="s">
        <v>281</v>
      </c>
      <c r="E27" s="86" t="s">
        <v>256</v>
      </c>
      <c r="F27" s="86" t="s">
        <v>257</v>
      </c>
      <c r="G27" s="87" t="s">
        <v>287</v>
      </c>
      <c r="H27" s="87" t="s">
        <v>319</v>
      </c>
    </row>
    <row r="28" spans="1:8">
      <c r="A28" s="88">
        <v>5103140191</v>
      </c>
      <c r="B28" s="89" t="s">
        <v>320</v>
      </c>
      <c r="C28" s="89" t="s">
        <v>254</v>
      </c>
      <c r="D28" s="89" t="s">
        <v>274</v>
      </c>
      <c r="E28" s="89" t="s">
        <v>256</v>
      </c>
      <c r="F28" s="89" t="s">
        <v>257</v>
      </c>
      <c r="G28" s="90" t="s">
        <v>258</v>
      </c>
      <c r="H28" s="90" t="s">
        <v>321</v>
      </c>
    </row>
    <row r="29" spans="1:8">
      <c r="A29" s="85">
        <v>5103348623</v>
      </c>
      <c r="B29" s="86" t="s">
        <v>322</v>
      </c>
      <c r="C29" s="86" t="s">
        <v>254</v>
      </c>
      <c r="D29" s="86" t="s">
        <v>274</v>
      </c>
      <c r="E29" s="86" t="s">
        <v>256</v>
      </c>
      <c r="F29" s="86" t="s">
        <v>257</v>
      </c>
      <c r="G29" s="87" t="s">
        <v>287</v>
      </c>
      <c r="H29" s="87" t="s">
        <v>323</v>
      </c>
    </row>
    <row r="30" spans="1:8">
      <c r="A30" s="88">
        <v>5122336713</v>
      </c>
      <c r="B30" s="89" t="s">
        <v>324</v>
      </c>
      <c r="C30" s="89" t="s">
        <v>254</v>
      </c>
      <c r="D30" s="89" t="s">
        <v>286</v>
      </c>
      <c r="E30" s="89" t="s">
        <v>256</v>
      </c>
      <c r="F30" s="89" t="s">
        <v>257</v>
      </c>
      <c r="G30" s="90" t="s">
        <v>325</v>
      </c>
      <c r="H30" s="90" t="s">
        <v>326</v>
      </c>
    </row>
    <row r="31" spans="1:8">
      <c r="A31" s="85">
        <v>5108215476</v>
      </c>
      <c r="B31" s="86" t="s">
        <v>327</v>
      </c>
      <c r="C31" s="86" t="s">
        <v>254</v>
      </c>
      <c r="D31" s="86" t="s">
        <v>281</v>
      </c>
      <c r="E31" s="86" t="s">
        <v>256</v>
      </c>
      <c r="F31" s="86" t="s">
        <v>257</v>
      </c>
      <c r="G31" s="87" t="s">
        <v>262</v>
      </c>
      <c r="H31" s="87" t="s">
        <v>328</v>
      </c>
    </row>
    <row r="32" spans="1:8">
      <c r="A32" s="88">
        <v>5070254054</v>
      </c>
      <c r="B32" s="89" t="s">
        <v>329</v>
      </c>
      <c r="C32" s="89" t="s">
        <v>254</v>
      </c>
      <c r="D32" s="89" t="s">
        <v>255</v>
      </c>
      <c r="E32" s="89" t="s">
        <v>256</v>
      </c>
      <c r="F32" s="89" t="s">
        <v>257</v>
      </c>
      <c r="G32" s="90" t="s">
        <v>330</v>
      </c>
      <c r="H32" s="90" t="s">
        <v>331</v>
      </c>
    </row>
    <row r="33" spans="1:8">
      <c r="A33" s="85">
        <v>5100493895</v>
      </c>
      <c r="B33" s="86" t="s">
        <v>332</v>
      </c>
      <c r="C33" s="86" t="s">
        <v>254</v>
      </c>
      <c r="D33" s="86" t="s">
        <v>333</v>
      </c>
      <c r="E33" s="86" t="s">
        <v>256</v>
      </c>
      <c r="F33" s="86" t="s">
        <v>257</v>
      </c>
      <c r="G33" s="87" t="s">
        <v>258</v>
      </c>
      <c r="H33" s="87" t="s">
        <v>334</v>
      </c>
    </row>
    <row r="34" spans="1:8">
      <c r="A34" s="88">
        <v>5103142431</v>
      </c>
      <c r="B34" s="89" t="s">
        <v>335</v>
      </c>
      <c r="C34" s="89" t="s">
        <v>254</v>
      </c>
      <c r="D34" s="89" t="s">
        <v>274</v>
      </c>
      <c r="E34" s="89" t="s">
        <v>256</v>
      </c>
      <c r="F34" s="89" t="s">
        <v>257</v>
      </c>
      <c r="G34" s="90" t="s">
        <v>287</v>
      </c>
      <c r="H34" s="90" t="s">
        <v>336</v>
      </c>
    </row>
    <row r="35" spans="1:8">
      <c r="A35" s="85">
        <v>5070168034</v>
      </c>
      <c r="B35" s="86" t="s">
        <v>337</v>
      </c>
      <c r="C35" s="86" t="s">
        <v>254</v>
      </c>
      <c r="D35" s="86" t="s">
        <v>338</v>
      </c>
      <c r="E35" s="86" t="s">
        <v>256</v>
      </c>
      <c r="F35" s="86" t="s">
        <v>257</v>
      </c>
      <c r="G35" s="87" t="s">
        <v>287</v>
      </c>
      <c r="H35" s="87" t="s">
        <v>339</v>
      </c>
    </row>
    <row r="36" spans="1:8">
      <c r="A36" s="88">
        <v>5149087633</v>
      </c>
      <c r="B36" s="89" t="s">
        <v>340</v>
      </c>
      <c r="C36" s="89" t="s">
        <v>254</v>
      </c>
      <c r="D36" s="89" t="s">
        <v>268</v>
      </c>
      <c r="E36" s="89" t="s">
        <v>256</v>
      </c>
      <c r="F36" s="89" t="s">
        <v>257</v>
      </c>
      <c r="G36" s="90" t="s">
        <v>293</v>
      </c>
      <c r="H36" s="90" t="s">
        <v>341</v>
      </c>
    </row>
    <row r="37" spans="1:8">
      <c r="A37" s="85">
        <v>5113006216</v>
      </c>
      <c r="B37" s="86" t="s">
        <v>342</v>
      </c>
      <c r="C37" s="86" t="s">
        <v>254</v>
      </c>
      <c r="D37" s="86" t="s">
        <v>268</v>
      </c>
      <c r="E37" s="86" t="s">
        <v>256</v>
      </c>
      <c r="F37" s="86" t="s">
        <v>257</v>
      </c>
      <c r="G37" s="87" t="s">
        <v>293</v>
      </c>
      <c r="H37" s="87" t="e">
        <v>#N/A</v>
      </c>
    </row>
    <row r="38" spans="1:8">
      <c r="A38" s="88">
        <v>5070221029</v>
      </c>
      <c r="B38" s="89" t="s">
        <v>343</v>
      </c>
      <c r="C38" s="89" t="s">
        <v>254</v>
      </c>
      <c r="D38" s="89" t="s">
        <v>261</v>
      </c>
      <c r="E38" s="89" t="s">
        <v>256</v>
      </c>
      <c r="F38" s="89" t="s">
        <v>257</v>
      </c>
      <c r="G38" s="90" t="s">
        <v>262</v>
      </c>
      <c r="H38" s="90" t="e">
        <v>#N/A</v>
      </c>
    </row>
    <row r="39" spans="1:8">
      <c r="A39" s="85">
        <v>5070253178</v>
      </c>
      <c r="B39" s="86" t="s">
        <v>344</v>
      </c>
      <c r="C39" s="86" t="s">
        <v>254</v>
      </c>
      <c r="D39" s="86" t="s">
        <v>345</v>
      </c>
      <c r="E39" s="86" t="s">
        <v>256</v>
      </c>
      <c r="F39" s="86" t="s">
        <v>257</v>
      </c>
      <c r="G39" s="87" t="s">
        <v>258</v>
      </c>
      <c r="H39" s="87" t="s">
        <v>346</v>
      </c>
    </row>
    <row r="40" spans="1:8">
      <c r="A40" s="88">
        <v>5070250012</v>
      </c>
      <c r="B40" s="89" t="s">
        <v>347</v>
      </c>
      <c r="C40" s="89" t="s">
        <v>254</v>
      </c>
      <c r="D40" s="89" t="s">
        <v>274</v>
      </c>
      <c r="E40" s="89" t="s">
        <v>256</v>
      </c>
      <c r="F40" s="89" t="s">
        <v>257</v>
      </c>
      <c r="G40" s="90" t="s">
        <v>262</v>
      </c>
      <c r="H40" s="90" t="s">
        <v>348</v>
      </c>
    </row>
    <row r="41" spans="1:8">
      <c r="A41" s="85">
        <v>5150898722</v>
      </c>
      <c r="B41" s="86" t="s">
        <v>349</v>
      </c>
      <c r="C41" s="86" t="s">
        <v>254</v>
      </c>
      <c r="D41" s="86" t="s">
        <v>274</v>
      </c>
      <c r="E41" s="86" t="s">
        <v>256</v>
      </c>
      <c r="F41" s="86" t="s">
        <v>257</v>
      </c>
      <c r="G41" s="87" t="s">
        <v>262</v>
      </c>
      <c r="H41" s="87" t="s">
        <v>350</v>
      </c>
    </row>
    <row r="42" spans="1:8">
      <c r="A42" s="88">
        <v>5140000035</v>
      </c>
      <c r="B42" s="89" t="s">
        <v>351</v>
      </c>
      <c r="C42" s="89" t="s">
        <v>254</v>
      </c>
      <c r="D42" s="89" t="s">
        <v>338</v>
      </c>
      <c r="E42" s="89" t="s">
        <v>256</v>
      </c>
      <c r="F42" s="89" t="s">
        <v>257</v>
      </c>
      <c r="G42" s="90" t="s">
        <v>287</v>
      </c>
      <c r="H42" s="90" t="s">
        <v>352</v>
      </c>
    </row>
    <row r="43" spans="1:8">
      <c r="A43" s="85">
        <v>5106209258</v>
      </c>
      <c r="B43" s="86" t="s">
        <v>353</v>
      </c>
      <c r="C43" s="86" t="s">
        <v>254</v>
      </c>
      <c r="D43" s="86" t="s">
        <v>261</v>
      </c>
      <c r="E43" s="86" t="s">
        <v>256</v>
      </c>
      <c r="F43" s="86" t="s">
        <v>257</v>
      </c>
      <c r="G43" s="87" t="s">
        <v>262</v>
      </c>
      <c r="H43" s="87" t="s">
        <v>354</v>
      </c>
    </row>
    <row r="44" spans="1:8">
      <c r="A44" s="88">
        <v>5104184781</v>
      </c>
      <c r="B44" s="89" t="s">
        <v>355</v>
      </c>
      <c r="C44" s="89" t="s">
        <v>254</v>
      </c>
      <c r="D44" s="89" t="s">
        <v>274</v>
      </c>
      <c r="E44" s="89" t="s">
        <v>256</v>
      </c>
      <c r="F44" s="89" t="s">
        <v>257</v>
      </c>
      <c r="G44" s="90" t="s">
        <v>262</v>
      </c>
      <c r="H44" s="90" t="s">
        <v>356</v>
      </c>
    </row>
    <row r="45" spans="1:8">
      <c r="A45" s="91">
        <v>5070192397</v>
      </c>
      <c r="B45" s="92" t="s">
        <v>357</v>
      </c>
      <c r="C45" s="92" t="s">
        <v>254</v>
      </c>
      <c r="D45" s="92" t="s">
        <v>255</v>
      </c>
      <c r="E45" s="92" t="s">
        <v>256</v>
      </c>
      <c r="F45" s="86" t="s">
        <v>257</v>
      </c>
      <c r="G45" s="93" t="s">
        <v>262</v>
      </c>
      <c r="H45" s="93" t="s">
        <v>358</v>
      </c>
    </row>
    <row r="46" spans="1:8">
      <c r="A46" s="94">
        <v>5101662826</v>
      </c>
      <c r="B46" s="95" t="s">
        <v>359</v>
      </c>
      <c r="C46" s="95" t="s">
        <v>254</v>
      </c>
      <c r="D46" s="95" t="s">
        <v>255</v>
      </c>
      <c r="E46" s="95" t="s">
        <v>256</v>
      </c>
      <c r="F46" s="89" t="s">
        <v>257</v>
      </c>
      <c r="G46" s="96" t="s">
        <v>262</v>
      </c>
      <c r="H46" s="96" t="s">
        <v>360</v>
      </c>
    </row>
    <row r="47" spans="1:8">
      <c r="A47" s="91">
        <v>5107790853</v>
      </c>
      <c r="B47" s="92" t="s">
        <v>361</v>
      </c>
      <c r="C47" s="92" t="s">
        <v>254</v>
      </c>
      <c r="D47" s="92" t="s">
        <v>338</v>
      </c>
      <c r="E47" s="92" t="s">
        <v>256</v>
      </c>
      <c r="F47" s="86" t="s">
        <v>257</v>
      </c>
      <c r="G47" s="93" t="s">
        <v>325</v>
      </c>
      <c r="H47" s="93" t="s">
        <v>362</v>
      </c>
    </row>
    <row r="48" spans="1:8">
      <c r="A48" s="94">
        <v>5117924214</v>
      </c>
      <c r="B48" s="95" t="s">
        <v>363</v>
      </c>
      <c r="C48" s="95" t="s">
        <v>254</v>
      </c>
      <c r="D48" s="95" t="s">
        <v>281</v>
      </c>
      <c r="E48" s="95" t="s">
        <v>256</v>
      </c>
      <c r="F48" s="89" t="s">
        <v>257</v>
      </c>
      <c r="G48" s="96" t="s">
        <v>262</v>
      </c>
      <c r="H48" s="96" t="s">
        <v>364</v>
      </c>
    </row>
    <row r="49" spans="1:8">
      <c r="A49" s="91">
        <v>5070284987</v>
      </c>
      <c r="B49" s="92" t="s">
        <v>365</v>
      </c>
      <c r="C49" s="92" t="s">
        <v>254</v>
      </c>
      <c r="D49" s="92" t="s">
        <v>274</v>
      </c>
      <c r="E49" s="92" t="s">
        <v>256</v>
      </c>
      <c r="F49" s="92" t="s">
        <v>257</v>
      </c>
      <c r="G49" s="93" t="s">
        <v>262</v>
      </c>
      <c r="H49" s="93" t="s">
        <v>366</v>
      </c>
    </row>
    <row r="50" spans="1:8">
      <c r="A50" s="97">
        <v>5105037216</v>
      </c>
      <c r="B50" s="98" t="s">
        <v>367</v>
      </c>
      <c r="C50" s="98" t="s">
        <v>254</v>
      </c>
      <c r="D50" s="98" t="s">
        <v>281</v>
      </c>
      <c r="E50" s="98" t="s">
        <v>256</v>
      </c>
      <c r="F50" s="98" t="s">
        <v>257</v>
      </c>
      <c r="G50" s="99" t="s">
        <v>262</v>
      </c>
      <c r="H50" s="99" t="e">
        <v>#N/A</v>
      </c>
    </row>
    <row r="52" spans="1:8" ht="15.5">
      <c r="A52" s="100"/>
      <c r="B52" s="100"/>
      <c r="H52" s="101"/>
    </row>
    <row r="53" spans="1:8" ht="15.5">
      <c r="A53" s="100">
        <v>5070186087</v>
      </c>
      <c r="B53" s="102" t="s">
        <v>368</v>
      </c>
      <c r="H53" s="101" t="s">
        <v>369</v>
      </c>
    </row>
    <row r="54" spans="1:8" ht="15.5">
      <c r="A54" s="100">
        <v>5130733141</v>
      </c>
      <c r="B54" s="102" t="s">
        <v>370</v>
      </c>
      <c r="H54" s="101" t="s">
        <v>371</v>
      </c>
    </row>
    <row r="55" spans="1:8" ht="15.5">
      <c r="A55" s="100">
        <v>5132710342</v>
      </c>
      <c r="B55" s="102" t="s">
        <v>372</v>
      </c>
      <c r="H55" s="101" t="s">
        <v>373</v>
      </c>
    </row>
    <row r="56" spans="1:8" ht="15.5">
      <c r="A56" s="100">
        <v>5103142450</v>
      </c>
      <c r="B56" s="100" t="s">
        <v>374</v>
      </c>
      <c r="H56" s="101" t="s">
        <v>375</v>
      </c>
    </row>
    <row r="57" spans="1:8" ht="15.5">
      <c r="A57" s="100">
        <v>5103348623</v>
      </c>
      <c r="B57" s="100" t="s">
        <v>376</v>
      </c>
      <c r="H57" s="101" t="s">
        <v>377</v>
      </c>
    </row>
    <row r="58" spans="1:8" ht="15.5">
      <c r="A58" s="100">
        <v>5109606063</v>
      </c>
      <c r="B58" s="100" t="s">
        <v>378</v>
      </c>
      <c r="H58" s="101" t="s">
        <v>379</v>
      </c>
    </row>
    <row r="59" spans="1:8" ht="15.5">
      <c r="A59" s="100">
        <v>5104108356</v>
      </c>
      <c r="B59" s="100" t="s">
        <v>380</v>
      </c>
      <c r="H59" s="101" t="s">
        <v>381</v>
      </c>
    </row>
    <row r="60" spans="1:8" ht="15.5">
      <c r="A60" s="100">
        <v>5100291103</v>
      </c>
      <c r="B60" s="100" t="s">
        <v>382</v>
      </c>
      <c r="H60" s="101" t="s">
        <v>383</v>
      </c>
    </row>
    <row r="61" spans="1:8" ht="15.5">
      <c r="B61" s="103" t="s">
        <v>384</v>
      </c>
    </row>
    <row r="62" spans="1:8" ht="15.5">
      <c r="B62" s="103" t="s">
        <v>385</v>
      </c>
    </row>
    <row r="63" spans="1:8" ht="15.5">
      <c r="B63" s="103" t="s">
        <v>386</v>
      </c>
    </row>
  </sheetData>
  <hyperlinks>
    <hyperlink ref="A1" r:id="rId1" xr:uid="{926E9CC6-8792-47FF-91C7-A0F9F5E05218}"/>
    <hyperlink ref="H53" r:id="rId2" display="\\Users\mcdermg\Downloads\www.alstom.com" xr:uid="{B28BF324-A283-40FB-96F9-C353F18EC410}"/>
    <hyperlink ref="H54" r:id="rId3" display="http://www.technipfmc.com/" xr:uid="{CE0F3725-682C-4903-B111-48E29E3998D9}"/>
    <hyperlink ref="H55" r:id="rId4" display="\\Users\mcdermg\Downloads\www.novonordisk.com" xr:uid="{03DEC4C1-74DA-4696-AF0C-6C07B69876A9}"/>
    <hyperlink ref="H56" r:id="rId5" display="http://www.permasteelisagroup.com/" xr:uid="{8ADCFF87-0536-4544-9875-1E5A920AC16B}"/>
    <hyperlink ref="H57" r:id="rId6" display="http://www.lindnerprater.co.uk/" xr:uid="{F446C143-BC5E-45DE-BC9F-1F4B89B256EB}"/>
    <hyperlink ref="H58" r:id="rId7" display="\\Users\mcdermg\Downloads\www.ortner-anlagen.at" xr:uid="{2195141A-6A35-4531-83E8-708AC265DC27}"/>
    <hyperlink ref="H59" r:id="rId8" display="\\Users\mcdermg\Downloads\www.strabag.at" xr:uid="{46903C90-7F8B-47DF-87A7-375B73C79E6F}"/>
    <hyperlink ref="H60" r:id="rId9" display="\\Users\mcdermg\Downloads\www.totalenergies.com" xr:uid="{A992A7B5-6345-4A81-ABE6-1B876DCC71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CEDE-ECF4-4EAC-9294-C6F030819E60}">
  <dimension ref="A1:A54"/>
  <sheetViews>
    <sheetView workbookViewId="0">
      <selection sqref="A1:A54"/>
    </sheetView>
  </sheetViews>
  <sheetFormatPr defaultRowHeight="14.5"/>
  <cols>
    <col min="1" max="1" width="47.7265625" style="35" customWidth="1"/>
  </cols>
  <sheetData>
    <row r="1" spans="1:1">
      <c r="A1" s="34" t="s">
        <v>387</v>
      </c>
    </row>
    <row r="2" spans="1:1">
      <c r="A2" t="s">
        <v>388</v>
      </c>
    </row>
    <row r="3" spans="1:1">
      <c r="A3" t="s">
        <v>389</v>
      </c>
    </row>
    <row r="4" spans="1:1">
      <c r="A4" t="s">
        <v>390</v>
      </c>
    </row>
    <row r="5" spans="1:1">
      <c r="A5" t="s">
        <v>391</v>
      </c>
    </row>
    <row r="6" spans="1:1">
      <c r="A6" t="s">
        <v>392</v>
      </c>
    </row>
    <row r="7" spans="1:1">
      <c r="A7" t="s">
        <v>393</v>
      </c>
    </row>
    <row r="8" spans="1:1">
      <c r="A8" t="s">
        <v>394</v>
      </c>
    </row>
    <row r="9" spans="1:1">
      <c r="A9" t="s">
        <v>395</v>
      </c>
    </row>
    <row r="10" spans="1:1">
      <c r="A10" t="s">
        <v>396</v>
      </c>
    </row>
    <row r="11" spans="1:1">
      <c r="A11" t="s">
        <v>397</v>
      </c>
    </row>
    <row r="12" spans="1:1">
      <c r="A12" t="s">
        <v>398</v>
      </c>
    </row>
    <row r="13" spans="1:1">
      <c r="A13" t="s">
        <v>399</v>
      </c>
    </row>
    <row r="14" spans="1:1">
      <c r="A14" t="s">
        <v>400</v>
      </c>
    </row>
    <row r="15" spans="1:1">
      <c r="A15" t="s">
        <v>401</v>
      </c>
    </row>
    <row r="16" spans="1:1">
      <c r="A16" t="s">
        <v>402</v>
      </c>
    </row>
    <row r="17" spans="1:1">
      <c r="A17" t="s">
        <v>403</v>
      </c>
    </row>
    <row r="18" spans="1:1">
      <c r="A18" t="s">
        <v>404</v>
      </c>
    </row>
    <row r="19" spans="1:1">
      <c r="A19" t="s">
        <v>405</v>
      </c>
    </row>
    <row r="20" spans="1:1">
      <c r="A20" t="s">
        <v>406</v>
      </c>
    </row>
    <row r="21" spans="1:1">
      <c r="A21" t="s">
        <v>407</v>
      </c>
    </row>
    <row r="22" spans="1:1">
      <c r="A22" t="s">
        <v>408</v>
      </c>
    </row>
    <row r="23" spans="1:1">
      <c r="A23" t="s">
        <v>409</v>
      </c>
    </row>
    <row r="24" spans="1:1">
      <c r="A24" t="s">
        <v>410</v>
      </c>
    </row>
    <row r="25" spans="1:1">
      <c r="A25" t="s">
        <v>411</v>
      </c>
    </row>
    <row r="26" spans="1:1">
      <c r="A26" t="s">
        <v>412</v>
      </c>
    </row>
    <row r="27" spans="1:1">
      <c r="A27" t="s">
        <v>413</v>
      </c>
    </row>
    <row r="28" spans="1:1">
      <c r="A28" t="s">
        <v>414</v>
      </c>
    </row>
    <row r="29" spans="1:1">
      <c r="A29" t="s">
        <v>415</v>
      </c>
    </row>
    <row r="30" spans="1:1">
      <c r="A30" t="s">
        <v>416</v>
      </c>
    </row>
    <row r="31" spans="1:1">
      <c r="A31" t="s">
        <v>417</v>
      </c>
    </row>
    <row r="32" spans="1:1">
      <c r="A32" t="s">
        <v>418</v>
      </c>
    </row>
    <row r="33" spans="1:1">
      <c r="A33" t="s">
        <v>419</v>
      </c>
    </row>
    <row r="34" spans="1:1">
      <c r="A34" t="s">
        <v>420</v>
      </c>
    </row>
    <row r="35" spans="1:1">
      <c r="A35" t="s">
        <v>421</v>
      </c>
    </row>
    <row r="36" spans="1:1">
      <c r="A36" t="s">
        <v>422</v>
      </c>
    </row>
    <row r="37" spans="1:1">
      <c r="A37" t="s">
        <v>423</v>
      </c>
    </row>
    <row r="38" spans="1:1">
      <c r="A38" t="s">
        <v>424</v>
      </c>
    </row>
    <row r="39" spans="1:1">
      <c r="A39" t="s">
        <v>425</v>
      </c>
    </row>
    <row r="40" spans="1:1">
      <c r="A40" t="s">
        <v>426</v>
      </c>
    </row>
    <row r="41" spans="1:1">
      <c r="A41" t="s">
        <v>427</v>
      </c>
    </row>
    <row r="42" spans="1:1">
      <c r="A42" t="s">
        <v>428</v>
      </c>
    </row>
    <row r="43" spans="1:1">
      <c r="A43" t="s">
        <v>429</v>
      </c>
    </row>
    <row r="44" spans="1:1">
      <c r="A44" t="s">
        <v>430</v>
      </c>
    </row>
    <row r="45" spans="1:1">
      <c r="A45" t="s">
        <v>431</v>
      </c>
    </row>
    <row r="46" spans="1:1">
      <c r="A46" t="s">
        <v>432</v>
      </c>
    </row>
    <row r="47" spans="1:1">
      <c r="A47" t="s">
        <v>433</v>
      </c>
    </row>
    <row r="48" spans="1:1">
      <c r="A48" t="s">
        <v>434</v>
      </c>
    </row>
    <row r="49" spans="1:1">
      <c r="A49" t="s">
        <v>435</v>
      </c>
    </row>
    <row r="50" spans="1:1">
      <c r="A50" t="s">
        <v>436</v>
      </c>
    </row>
    <row r="51" spans="1:1">
      <c r="A51" t="s">
        <v>437</v>
      </c>
    </row>
    <row r="52" spans="1:1">
      <c r="A52" t="s">
        <v>438</v>
      </c>
    </row>
    <row r="53" spans="1:1">
      <c r="A53" t="s">
        <v>439</v>
      </c>
    </row>
    <row r="54" spans="1:1">
      <c r="A54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D3CE20006C404B8FEC07D10D0AF6E6" ma:contentTypeVersion="17" ma:contentTypeDescription="Create a new document." ma:contentTypeScope="" ma:versionID="d236832240ecbd7471ef084048fd030f">
  <xsd:schema xmlns:xsd="http://www.w3.org/2001/XMLSchema" xmlns:xs="http://www.w3.org/2001/XMLSchema" xmlns:p="http://schemas.microsoft.com/office/2006/metadata/properties" xmlns:ns2="43a24e2d-1dba-4c1d-a638-c5faad3cea85" xmlns:ns3="34a3996c-88ab-4814-a29d-fa38729a07af" targetNamespace="http://schemas.microsoft.com/office/2006/metadata/properties" ma:root="true" ma:fieldsID="516345095f0706c0a0f1573fdb090e6f" ns2:_="" ns3:_="">
    <xsd:import namespace="43a24e2d-1dba-4c1d-a638-c5faad3cea85"/>
    <xsd:import namespace="34a3996c-88ab-4814-a29d-fa38729a07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24e2d-1dba-4c1d-a638-c5faad3ce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690499f-1cb2-46fa-ba92-60eeb3e9b5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3996c-88ab-4814-a29d-fa38729a07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a3d1bc2-cb5f-4a1a-a1ed-a52eadc9e9d0}" ma:internalName="TaxCatchAll" ma:showField="CatchAllData" ma:web="34a3996c-88ab-4814-a29d-fa38729a07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a3996c-88ab-4814-a29d-fa38729a07af" xsi:nil="true"/>
    <lcf76f155ced4ddcb4097134ff3c332f xmlns="43a24e2d-1dba-4c1d-a638-c5faad3cea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41D503-4E03-4608-BC70-A53D869A9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a24e2d-1dba-4c1d-a638-c5faad3cea85"/>
    <ds:schemaRef ds:uri="34a3996c-88ab-4814-a29d-fa38729a07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0BFBC6-5904-45BF-A2C9-514306ABBE47}">
  <ds:schemaRefs>
    <ds:schemaRef ds:uri="http://schemas.microsoft.com/office/2006/metadata/properties"/>
    <ds:schemaRef ds:uri="http://schemas.microsoft.com/office/infopath/2007/PartnerControls"/>
    <ds:schemaRef ds:uri="34a3996c-88ab-4814-a29d-fa38729a07af"/>
    <ds:schemaRef ds:uri="43a24e2d-1dba-4c1d-a638-c5faad3cea85"/>
  </ds:schemaRefs>
</ds:datastoreItem>
</file>

<file path=customXml/itemProps3.xml><?xml version="1.0" encoding="utf-8"?>
<ds:datastoreItem xmlns:ds="http://schemas.openxmlformats.org/officeDocument/2006/customXml" ds:itemID="{0A0DC30A-9101-45B9-9876-DEA2A053EA7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10a08c9-b611-470e-9018-6ec0292b7e8e}" enabled="0" method="" siteId="{710a08c9-b611-470e-9018-6ec0292b7e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Briefing Document</vt:lpstr>
      <vt:lpstr>Delivery Template</vt:lpstr>
      <vt:lpstr>Display Banner Sizes</vt:lpstr>
      <vt:lpstr>Assets</vt:lpstr>
      <vt:lpstr>Job Titles</vt:lpstr>
      <vt:lpstr>Target account list</vt:lpstr>
      <vt:lpstr>Intent Topics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Tahira Nayee</dc:creator>
  <cp:keywords/>
  <dc:description/>
  <cp:lastModifiedBy>Tulsi Patel</cp:lastModifiedBy>
  <cp:revision/>
  <dcterms:created xsi:type="dcterms:W3CDTF">2024-04-05T16:09:28Z</dcterms:created>
  <dcterms:modified xsi:type="dcterms:W3CDTF">2025-08-26T08:58:30Z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0x01010055D3CE20006C404B8FEC07D10D0AF6E6</vt:lpwstr>
  </property>
  <property fmtid="{D5CDD505-2E9C-101B-9397-08002B2CF9AE}" pid="3" name="MediaServiceImageTags">
    <vt:lpwstr/>
  </property>
</Properties>
</file>